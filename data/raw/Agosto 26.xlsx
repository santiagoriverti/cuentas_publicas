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MAIL\1. Luis\26-08 Caja Agosto 26\"/>
    </mc:Choice>
  </mc:AlternateContent>
  <xr:revisionPtr revIDLastSave="0" documentId="13_ncr:1_{6E535A7A-4DF2-4B32-950E-EAB777DAFB52}" xr6:coauthVersionLast="47" xr6:coauthVersionMax="47" xr10:uidLastSave="{00000000-0000-0000-0000-000000000000}"/>
  <bookViews>
    <workbookView xWindow="-120" yWindow="-120" windowWidth="29040" windowHeight="15840" tabRatio="612" xr2:uid="{00000000-000D-0000-FFFF-FFFF00000000}"/>
  </bookViews>
  <sheets>
    <sheet name="Agosto" sheetId="1" r:id="rId1"/>
    <sheet name="Acumulado" sheetId="2" r:id="rId2"/>
  </sheets>
  <externalReferences>
    <externalReference r:id="rId3"/>
  </externalReferences>
  <definedNames>
    <definedName name="_xlnm.Print_Area" localSheetId="0">Agosto!#REF!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3" i="2" l="1"/>
  <c r="P73" i="2"/>
  <c r="O73" i="2"/>
  <c r="N73" i="2"/>
  <c r="M73" i="2"/>
  <c r="L73" i="2"/>
  <c r="K73" i="2"/>
  <c r="Q67" i="2"/>
  <c r="P67" i="2"/>
  <c r="O67" i="2"/>
  <c r="N67" i="2"/>
  <c r="M67" i="2"/>
  <c r="L67" i="2"/>
  <c r="K67" i="2"/>
  <c r="Q59" i="2"/>
  <c r="P59" i="2"/>
  <c r="O59" i="2"/>
  <c r="N59" i="2"/>
  <c r="M59" i="2"/>
  <c r="L59" i="2"/>
  <c r="K59" i="2"/>
  <c r="Q55" i="2"/>
  <c r="P55" i="2"/>
  <c r="O55" i="2"/>
  <c r="N55" i="2"/>
  <c r="M55" i="2"/>
  <c r="L55" i="2"/>
  <c r="K55" i="2"/>
  <c r="Q46" i="2"/>
  <c r="P46" i="2"/>
  <c r="O46" i="2"/>
  <c r="N46" i="2"/>
  <c r="M46" i="2"/>
  <c r="L46" i="2"/>
  <c r="K46" i="2"/>
  <c r="Q44" i="2"/>
  <c r="P44" i="2"/>
  <c r="O44" i="2"/>
  <c r="N44" i="2"/>
  <c r="M44" i="2"/>
  <c r="L44" i="2"/>
  <c r="K44" i="2"/>
  <c r="Q42" i="2"/>
  <c r="P42" i="2"/>
  <c r="O42" i="2"/>
  <c r="N42" i="2"/>
  <c r="M42" i="2"/>
  <c r="L42" i="2"/>
  <c r="K42" i="2"/>
  <c r="Q22" i="2"/>
  <c r="P22" i="2"/>
  <c r="O22" i="2"/>
  <c r="N22" i="2"/>
  <c r="M22" i="2"/>
  <c r="L22" i="2"/>
  <c r="K22" i="2"/>
  <c r="I88" i="2"/>
  <c r="H88" i="2"/>
  <c r="G88" i="2"/>
  <c r="F88" i="2"/>
  <c r="E88" i="2"/>
  <c r="D88" i="2"/>
  <c r="I87" i="2"/>
  <c r="H87" i="2"/>
  <c r="G87" i="2"/>
  <c r="F87" i="2"/>
  <c r="E87" i="2"/>
  <c r="D87" i="2"/>
  <c r="C88" i="2"/>
  <c r="C87" i="2"/>
  <c r="L15" i="2" l="1"/>
  <c r="L17" i="2" l="1"/>
  <c r="N75" i="2" l="1"/>
  <c r="L34" i="2" l="1"/>
  <c r="K65" i="2"/>
  <c r="L48" i="2"/>
  <c r="M15" i="2" l="1"/>
  <c r="M62" i="2" l="1"/>
  <c r="P75" i="2" l="1"/>
  <c r="M61" i="2"/>
  <c r="N29" i="2" l="1"/>
  <c r="K63" i="2" l="1"/>
  <c r="M63" i="2"/>
  <c r="N38" i="2"/>
  <c r="N30" i="2" l="1"/>
  <c r="P74" i="2"/>
  <c r="M65" i="2"/>
  <c r="L61" i="2"/>
  <c r="N13" i="2"/>
  <c r="N45" i="2"/>
  <c r="K64" i="2"/>
  <c r="P76" i="2"/>
  <c r="N21" i="2"/>
  <c r="K61" i="2"/>
  <c r="K76" i="2"/>
  <c r="K74" i="2"/>
  <c r="K41" i="2"/>
  <c r="N61" i="2"/>
  <c r="L21" i="2"/>
  <c r="K21" i="2"/>
  <c r="L63" i="2"/>
  <c r="N53" i="2"/>
  <c r="M41" i="2"/>
  <c r="M76" i="2"/>
  <c r="K75" i="2"/>
  <c r="N50" i="2"/>
  <c r="N48" i="2"/>
  <c r="L75" i="2"/>
  <c r="M64" i="2"/>
  <c r="N34" i="2"/>
  <c r="L76" i="2"/>
  <c r="N41" i="2"/>
  <c r="N40" i="2"/>
  <c r="M21" i="2"/>
  <c r="N36" i="2"/>
  <c r="N74" i="2"/>
  <c r="K62" i="2"/>
  <c r="M74" i="2"/>
  <c r="L41" i="2"/>
  <c r="N76" i="2"/>
  <c r="N25" i="2"/>
  <c r="L74" i="2"/>
  <c r="M51" i="2"/>
  <c r="M29" i="2"/>
  <c r="K13" i="2"/>
  <c r="K14" i="2"/>
  <c r="L29" i="2"/>
  <c r="L51" i="2"/>
  <c r="K19" i="2"/>
  <c r="K15" i="2"/>
  <c r="P54" i="2"/>
  <c r="P65" i="2"/>
  <c r="P31" i="2"/>
  <c r="P38" i="2"/>
  <c r="K54" i="2"/>
  <c r="P17" i="2"/>
  <c r="P39" i="2"/>
  <c r="P48" i="2"/>
  <c r="P16" i="2"/>
  <c r="P34" i="2"/>
  <c r="P26" i="2"/>
  <c r="K17" i="2"/>
  <c r="M25" i="2"/>
  <c r="K16" i="2"/>
  <c r="L50" i="2"/>
  <c r="L65" i="2"/>
  <c r="K27" i="2"/>
  <c r="M40" i="2"/>
  <c r="L53" i="2"/>
  <c r="P51" i="2"/>
  <c r="P30" i="2"/>
  <c r="K20" i="2"/>
  <c r="P19" i="2"/>
  <c r="P21" i="2"/>
  <c r="M45" i="2"/>
  <c r="P32" i="2"/>
  <c r="M50" i="2"/>
  <c r="P13" i="2"/>
  <c r="P14" i="2"/>
  <c r="P37" i="2"/>
  <c r="P15" i="2"/>
  <c r="P18" i="2"/>
  <c r="K18" i="2"/>
  <c r="P27" i="2"/>
  <c r="P40" i="2"/>
  <c r="P41" i="2"/>
  <c r="P20" i="2"/>
  <c r="P36" i="2"/>
  <c r="K38" i="2"/>
  <c r="N18" i="2" l="1"/>
  <c r="N62" i="2"/>
  <c r="N15" i="2"/>
  <c r="N27" i="2"/>
  <c r="N14" i="2"/>
  <c r="N64" i="2"/>
  <c r="N16" i="2"/>
  <c r="M75" i="2"/>
  <c r="N17" i="2"/>
  <c r="N39" i="2"/>
  <c r="N20" i="2"/>
  <c r="N19" i="2"/>
  <c r="L62" i="2"/>
  <c r="N31" i="2"/>
  <c r="N54" i="2"/>
  <c r="N51" i="2"/>
  <c r="N37" i="2"/>
  <c r="N26" i="2"/>
  <c r="L64" i="2"/>
  <c r="N32" i="2"/>
  <c r="N63" i="2"/>
  <c r="M20" i="2"/>
  <c r="M32" i="2"/>
  <c r="L19" i="2"/>
  <c r="L20" i="2"/>
  <c r="M17" i="2"/>
  <c r="L45" i="2"/>
  <c r="N65" i="2"/>
  <c r="L32" i="2"/>
  <c r="L18" i="2"/>
  <c r="M48" i="2"/>
  <c r="L14" i="2"/>
  <c r="L54" i="2"/>
  <c r="M14" i="2"/>
  <c r="M37" i="2"/>
  <c r="M27" i="2"/>
  <c r="M16" i="2"/>
  <c r="M30" i="2"/>
  <c r="L27" i="2"/>
  <c r="M39" i="2"/>
  <c r="P64" i="2"/>
  <c r="L39" i="2"/>
  <c r="L60" i="2"/>
  <c r="N12" i="2"/>
  <c r="O61" i="2"/>
  <c r="K60" i="2"/>
  <c r="O63" i="2"/>
  <c r="N52" i="2"/>
  <c r="M60" i="2"/>
  <c r="N35" i="2"/>
  <c r="N24" i="2"/>
  <c r="K12" i="2"/>
  <c r="O15" i="2"/>
  <c r="L49" i="2"/>
  <c r="M49" i="2"/>
  <c r="O62" i="2"/>
  <c r="L52" i="2"/>
  <c r="P12" i="2"/>
  <c r="M54" i="2"/>
  <c r="L25" i="2"/>
  <c r="K34" i="2"/>
  <c r="K25" i="2"/>
  <c r="L38" i="2"/>
  <c r="K40" i="2"/>
  <c r="L16" i="2"/>
  <c r="M34" i="2"/>
  <c r="M18" i="2"/>
  <c r="M53" i="2"/>
  <c r="M26" i="2"/>
  <c r="L30" i="2"/>
  <c r="K36" i="2"/>
  <c r="K53" i="2"/>
  <c r="K30" i="2"/>
  <c r="K37" i="2"/>
  <c r="K26" i="2"/>
  <c r="K31" i="2"/>
  <c r="L40" i="2"/>
  <c r="M36" i="2"/>
  <c r="K48" i="2"/>
  <c r="K50" i="2"/>
  <c r="M38" i="2"/>
  <c r="M13" i="2"/>
  <c r="L13" i="2"/>
  <c r="L36" i="2"/>
  <c r="K29" i="2"/>
  <c r="P45" i="2"/>
  <c r="P62" i="2"/>
  <c r="P63" i="2"/>
  <c r="P61" i="2"/>
  <c r="Q21" i="2" l="1"/>
  <c r="O21" i="2"/>
  <c r="Q74" i="2"/>
  <c r="O74" i="2"/>
  <c r="P33" i="2"/>
  <c r="P35" i="2"/>
  <c r="N28" i="2"/>
  <c r="N60" i="2"/>
  <c r="N49" i="2"/>
  <c r="M28" i="2"/>
  <c r="Q14" i="2"/>
  <c r="O14" i="2"/>
  <c r="O17" i="2"/>
  <c r="O20" i="2"/>
  <c r="O65" i="2"/>
  <c r="O64" i="2"/>
  <c r="Q27" i="2"/>
  <c r="O27" i="2"/>
  <c r="Q76" i="2"/>
  <c r="O76" i="2"/>
  <c r="Q75" i="2"/>
  <c r="O75" i="2"/>
  <c r="O41" i="2"/>
  <c r="K32" i="2"/>
  <c r="K39" i="2"/>
  <c r="L26" i="2"/>
  <c r="K51" i="2"/>
  <c r="L37" i="2"/>
  <c r="K45" i="2"/>
  <c r="M31" i="2"/>
  <c r="L31" i="2"/>
  <c r="M19" i="2"/>
  <c r="P24" i="2"/>
  <c r="P25" i="2"/>
  <c r="P52" i="2"/>
  <c r="P53" i="2"/>
  <c r="P50" i="2"/>
  <c r="Q15" i="2"/>
  <c r="N47" i="2"/>
  <c r="L47" i="2"/>
  <c r="N56" i="2"/>
  <c r="K56" i="2"/>
  <c r="P56" i="2"/>
  <c r="O60" i="2"/>
  <c r="N33" i="2"/>
  <c r="L24" i="2"/>
  <c r="K24" i="2"/>
  <c r="M24" i="2"/>
  <c r="K35" i="2"/>
  <c r="K52" i="2"/>
  <c r="M35" i="2"/>
  <c r="K49" i="2"/>
  <c r="M12" i="2"/>
  <c r="L12" i="2"/>
  <c r="L35" i="2"/>
  <c r="K28" i="2"/>
  <c r="O29" i="2"/>
  <c r="Q62" i="2"/>
  <c r="Q63" i="2"/>
  <c r="Q61" i="2"/>
  <c r="P60" i="2"/>
  <c r="P29" i="2"/>
  <c r="Q17" i="2" l="1"/>
  <c r="Q20" i="2"/>
  <c r="Q65" i="2"/>
  <c r="P66" i="2"/>
  <c r="Q64" i="2"/>
  <c r="Q41" i="2"/>
  <c r="O45" i="2"/>
  <c r="P49" i="2"/>
  <c r="P47" i="2"/>
  <c r="O32" i="2"/>
  <c r="Q32" i="2"/>
  <c r="O39" i="2"/>
  <c r="Q39" i="2"/>
  <c r="O51" i="2"/>
  <c r="Q51" i="2"/>
  <c r="Q30" i="2"/>
  <c r="O30" i="2"/>
  <c r="Q26" i="2"/>
  <c r="O26" i="2"/>
  <c r="M47" i="2"/>
  <c r="M52" i="2"/>
  <c r="Q37" i="2"/>
  <c r="O37" i="2"/>
  <c r="Q31" i="2"/>
  <c r="O31" i="2"/>
  <c r="Q54" i="2"/>
  <c r="O54" i="2"/>
  <c r="Q25" i="2"/>
  <c r="O25" i="2"/>
  <c r="Q38" i="2"/>
  <c r="O38" i="2"/>
  <c r="Q16" i="2"/>
  <c r="O16" i="2"/>
  <c r="Q18" i="2"/>
  <c r="O18" i="2"/>
  <c r="L28" i="2"/>
  <c r="Q36" i="2"/>
  <c r="O36" i="2"/>
  <c r="Q53" i="2"/>
  <c r="O53" i="2"/>
  <c r="Q48" i="2"/>
  <c r="O48" i="2"/>
  <c r="Q19" i="2"/>
  <c r="O19" i="2"/>
  <c r="Q50" i="2"/>
  <c r="O50" i="2"/>
  <c r="Q13" i="2"/>
  <c r="O13" i="2"/>
  <c r="Q34" i="2"/>
  <c r="O34" i="2"/>
  <c r="Q40" i="2"/>
  <c r="O40" i="2"/>
  <c r="M33" i="2"/>
  <c r="N68" i="2"/>
  <c r="K68" i="2"/>
  <c r="P68" i="2"/>
  <c r="L56" i="2"/>
  <c r="L33" i="2"/>
  <c r="L66" i="2"/>
  <c r="K66" i="2"/>
  <c r="O28" i="2"/>
  <c r="N23" i="2"/>
  <c r="Q29" i="2"/>
  <c r="N66" i="2" l="1"/>
  <c r="Q45" i="2"/>
  <c r="Q12" i="2"/>
  <c r="O12" i="2"/>
  <c r="Q52" i="2"/>
  <c r="O52" i="2"/>
  <c r="Q60" i="2"/>
  <c r="Q24" i="2"/>
  <c r="O24" i="2"/>
  <c r="Q35" i="2"/>
  <c r="O35" i="2"/>
  <c r="K23" i="2"/>
  <c r="K33" i="2"/>
  <c r="M68" i="2"/>
  <c r="M56" i="2"/>
  <c r="M66" i="2"/>
  <c r="Q49" i="2"/>
  <c r="O49" i="2"/>
  <c r="K47" i="2"/>
  <c r="P23" i="2"/>
  <c r="P28" i="2"/>
  <c r="K43" i="2"/>
  <c r="K57" i="2"/>
  <c r="L68" i="2"/>
  <c r="N57" i="2"/>
  <c r="N43" i="2"/>
  <c r="P43" i="2"/>
  <c r="P57" i="2"/>
  <c r="Q28" i="2"/>
  <c r="L23" i="2"/>
  <c r="O47" i="2" l="1"/>
  <c r="Q47" i="2"/>
  <c r="Q56" i="2"/>
  <c r="O56" i="2"/>
  <c r="M23" i="2"/>
  <c r="Q66" i="2"/>
  <c r="O66" i="2"/>
  <c r="Q33" i="2"/>
  <c r="O33" i="2"/>
  <c r="M57" i="2"/>
  <c r="K58" i="2"/>
  <c r="K69" i="2"/>
  <c r="K70" i="2"/>
  <c r="N58" i="2"/>
  <c r="P58" i="2"/>
  <c r="L57" i="2"/>
  <c r="L43" i="2"/>
  <c r="O23" i="2" l="1"/>
  <c r="M43" i="2"/>
  <c r="O68" i="2"/>
  <c r="N72" i="2"/>
  <c r="N70" i="2"/>
  <c r="N71" i="2"/>
  <c r="N69" i="2"/>
  <c r="P71" i="2"/>
  <c r="P69" i="2"/>
  <c r="P72" i="2"/>
  <c r="P70" i="2"/>
  <c r="M58" i="2"/>
  <c r="K71" i="2"/>
  <c r="K72" i="2"/>
  <c r="L58" i="2"/>
  <c r="L69" i="2"/>
  <c r="L70" i="2"/>
  <c r="Q23" i="2" l="1"/>
  <c r="Q68" i="2"/>
  <c r="M71" i="2"/>
  <c r="M69" i="2"/>
  <c r="M72" i="2"/>
  <c r="M70" i="2"/>
  <c r="Q57" i="2"/>
  <c r="O57" i="2"/>
  <c r="Q43" i="2"/>
  <c r="O43" i="2"/>
  <c r="L71" i="2"/>
  <c r="O58" i="2" l="1"/>
  <c r="O69" i="2"/>
  <c r="L72" i="2"/>
  <c r="O70" i="2"/>
  <c r="Q58" i="2" l="1"/>
  <c r="Q69" i="2"/>
  <c r="Q70" i="2"/>
  <c r="O72" i="2"/>
  <c r="Q72" i="2"/>
  <c r="Q71" i="2"/>
  <c r="O71" i="2"/>
</calcChain>
</file>

<file path=xl/sharedStrings.xml><?xml version="1.0" encoding="utf-8"?>
<sst xmlns="http://schemas.openxmlformats.org/spreadsheetml/2006/main" count="198" uniqueCount="106">
  <si>
    <t xml:space="preserve">ESQUEMA AHORRO - INVERSION </t>
  </si>
  <si>
    <t>En millones de pesos</t>
  </si>
  <si>
    <t>ADMINISTRACION NACIONAL</t>
  </si>
  <si>
    <t>CONCEPTO</t>
  </si>
  <si>
    <t>TESORO</t>
  </si>
  <si>
    <t>REC.</t>
  </si>
  <si>
    <t>ORG.</t>
  </si>
  <si>
    <t>INST.DE</t>
  </si>
  <si>
    <t>TOTAL</t>
  </si>
  <si>
    <t>T O T A L</t>
  </si>
  <si>
    <t>NACIONAL</t>
  </si>
  <si>
    <t>AFECT.</t>
  </si>
  <si>
    <t>DESC.</t>
  </si>
  <si>
    <t>Y OTROS</t>
  </si>
  <si>
    <t>I)</t>
  </si>
  <si>
    <t xml:space="preserve"> INGRESOS CORRIENTES</t>
  </si>
  <si>
    <t xml:space="preserve">     - VENTAS DE BS.Y SERV.DE LAS ADM.PUB.</t>
  </si>
  <si>
    <t xml:space="preserve">     - INGRESOS DE OPERACION</t>
  </si>
  <si>
    <t xml:space="preserve">     - TRANSFERENCIAS CORRIENTES</t>
  </si>
  <si>
    <t xml:space="preserve">     - OTROS INGRESOS</t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</si>
  <si>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</si>
  <si>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</si>
  <si>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</si>
  <si>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</si>
  <si>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</si>
  <si>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</si>
  <si>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</si>
  <si>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</si>
  <si>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</si>
  <si>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</si>
  <si>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</si>
  <si>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</si>
  <si>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</si>
  <si>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</si>
  <si>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</si>
  <si>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t>III)</t>
  </si>
  <si>
    <t>RESULT.ECON.: AHORRO/DESAHORRO (I-II)</t>
  </si>
  <si>
    <t>IV)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</si>
  <si>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</si>
  <si>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</si>
  <si>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</si>
  <si>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</si>
  <si>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Otras</t>
  </si>
  <si>
    <t xml:space="preserve">     - INVERSION FINANCIERA</t>
  </si>
  <si>
    <t xml:space="preserve">       . Resto</t>
  </si>
  <si>
    <t>VI)</t>
  </si>
  <si>
    <t>VII)</t>
  </si>
  <si>
    <t>VIII)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</si>
  <si>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</si>
  <si>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</si>
  <si>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</si>
  <si>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</si>
  <si>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</si>
  <si>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</si>
  <si>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>X)</t>
  </si>
  <si>
    <t>GASTOS FIGURATIVOS</t>
  </si>
  <si>
    <t>XI)</t>
  </si>
  <si>
    <t>XII)</t>
  </si>
  <si>
    <t>XIII)</t>
  </si>
  <si>
    <t>XIV)</t>
  </si>
  <si>
    <t>XV)</t>
  </si>
  <si>
    <t>PAMI, FDOS.</t>
  </si>
  <si>
    <t>FIDUCIARIOS</t>
  </si>
  <si>
    <t xml:space="preserve">     - De PAMI, Fdos. Fiduciarios y Otros</t>
  </si>
  <si>
    <t>INGRESOS DESPUES DE FIGURAT.</t>
  </si>
  <si>
    <t xml:space="preserve">         .. Provincias y CABA</t>
  </si>
  <si>
    <t xml:space="preserve">       . A Provincias y CABA</t>
  </si>
  <si>
    <t>INGRESOS ANTES DE FIGURAT.(I+IV)</t>
  </si>
  <si>
    <t>GASTOS ANTES DE FIGURAT.(II+V)</t>
  </si>
  <si>
    <t>RESULT.FINANC.ANTES DE FIGURAT.(VI-VII)</t>
  </si>
  <si>
    <t>GASTOS PRIMARIOS DESPUES DE FIGURAT.</t>
  </si>
  <si>
    <t>GASTOS DESPUES DE FIGURAT.</t>
  </si>
  <si>
    <t xml:space="preserve">     - APORTES Y CONTRIB. A LA SEG. SOCIAL </t>
  </si>
  <si>
    <t xml:space="preserve">     - INTERESES Y OTRAS RENTAS DE LA PROP.</t>
  </si>
  <si>
    <r>
      <t xml:space="preserve">     - RENTAS DE LA PROPIEDAD NETAS </t>
    </r>
    <r>
      <rPr>
        <b/>
        <sz val="10"/>
        <rFont val="Arial"/>
        <family val="2"/>
      </rPr>
      <t>(1)</t>
    </r>
  </si>
  <si>
    <r>
      <t xml:space="preserve">       . Intereses Netos </t>
    </r>
    <r>
      <rPr>
        <b/>
        <sz val="10"/>
        <rFont val="Arial"/>
        <family val="2"/>
      </rPr>
      <t>(2)</t>
    </r>
  </si>
  <si>
    <t>RESULTADO FINANCIERO  (XI-XIII)</t>
  </si>
  <si>
    <t>- RENTAS PERCIBIDAS DEL BCRA</t>
  </si>
  <si>
    <t>- RENTAS PÚBL. PERCIBIDAS POR EL FGS Y OTROS</t>
  </si>
  <si>
    <t>- INTERESES PAGADOS INTRA-SECTOR PÚBLICO</t>
  </si>
  <si>
    <t xml:space="preserve">     - INGRESOS IMPOSITIVOS</t>
  </si>
  <si>
    <t xml:space="preserve">     - INGRESOS NO IMPOSITIVOS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</si>
  <si>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</si>
  <si>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>SECRETARIA DE HACIENDA</t>
  </si>
  <si>
    <t xml:space="preserve">EJECUCION  PROVISORIA </t>
  </si>
  <si>
    <t>RESULTADO PRIMARIO  (XI-XII)</t>
  </si>
  <si>
    <t xml:space="preserve">     - SUPERAVIT OPERATIVO EMPRESAS PUB. (3)</t>
  </si>
  <si>
    <t xml:space="preserve">     - DEFICIT OPERATIVO EMPRESAS PUB. (3)</t>
  </si>
  <si>
    <r>
      <t>(3)</t>
    </r>
    <r>
      <rPr>
        <sz val="10"/>
        <rFont val="Arial"/>
        <family val="2"/>
      </rPr>
      <t xml:space="preserve"> Se expone la sumatoria del superávit operativo de empresas públicas y la sumatoria de sus déficits operativos. </t>
    </r>
  </si>
  <si>
    <t>RECURSOS DE CAPITAL (4)</t>
  </si>
  <si>
    <r>
      <t>(5)</t>
    </r>
    <r>
      <rPr>
        <sz val="10"/>
        <rFont val="Arial"/>
        <family val="2"/>
      </rPr>
      <t xml:space="preserve"> Incluye  ex - Cajas Provinciales Previsionales</t>
    </r>
  </si>
  <si>
    <t>SEG.SOC.(5)</t>
  </si>
  <si>
    <r>
      <t>(4)</t>
    </r>
    <r>
      <rPr>
        <sz val="10"/>
        <rFont val="Arial"/>
        <family val="2"/>
      </rPr>
      <t xml:space="preserve"> Incluye ingresos extraordinarios: venta de acciones de Hidroeléctricas, por $1.039.903,3M. </t>
    </r>
  </si>
  <si>
    <t>SEG.SOC.(4)</t>
  </si>
  <si>
    <r>
      <t>(4)</t>
    </r>
    <r>
      <rPr>
        <sz val="10"/>
        <rFont val="Arial"/>
        <family val="2"/>
      </rPr>
      <t xml:space="preserve"> Incluye  ex - Cajas Provinciales Previsionales</t>
    </r>
  </si>
  <si>
    <t>- las generadas por el BCRA por $24.400.000,0 M</t>
  </si>
  <si>
    <r>
      <t xml:space="preserve">     - SUPERAVIT OPERATIVO EMPRESAS PUB. </t>
    </r>
    <r>
      <rPr>
        <b/>
        <sz val="10"/>
        <rFont val="Arial"/>
        <family val="2"/>
      </rPr>
      <t>(3)</t>
    </r>
  </si>
  <si>
    <r>
      <t xml:space="preserve">     - DEFICIT OPERATIVO EMPRESAS PUB.</t>
    </r>
    <r>
      <rPr>
        <b/>
        <sz val="10"/>
        <rFont val="Arial"/>
        <family val="2"/>
      </rPr>
      <t xml:space="preserve"> (3)</t>
    </r>
  </si>
  <si>
    <t>SECTOR PUBLICO BASE CAJA - AGOSTO 2026</t>
  </si>
  <si>
    <t xml:space="preserve">- las generadas por activos del Sector Público no Financiero en posesión del FGS por $3.361,0 M. </t>
  </si>
  <si>
    <t>- las generadas por activos del Sector Público no Financiero en posesión de organismos del Sector Público no Financiero excluyendo el FGS por $90,1 M.</t>
  </si>
  <si>
    <r>
      <rPr>
        <b/>
        <sz val="10"/>
        <color theme="1"/>
        <rFont val="Arial"/>
        <family val="2"/>
      </rPr>
      <t xml:space="preserve">(2) </t>
    </r>
    <r>
      <rPr>
        <sz val="10"/>
        <color theme="1"/>
        <rFont val="Arial"/>
        <family val="2"/>
      </rPr>
      <t>Excluye intereses pagados Intra-Sector Público Nacional por $3.451,1 M.</t>
    </r>
  </si>
  <si>
    <t>SECTOR PUBLICO BASE CAJA - ACUMULADO A AGOSTO 2026</t>
  </si>
  <si>
    <t xml:space="preserve">- las generadas por activos del Sector Público no Financiero en posesión del FGS por $2.148.548,8 M. </t>
  </si>
  <si>
    <t>- las generadas por activos del Sector Público no Financiero en posesión de organismos del Sector Público no Financiero excluyendo el FGS por $4.973,8 M.</t>
  </si>
  <si>
    <r>
      <rPr>
        <b/>
        <sz val="10"/>
        <color theme="1"/>
        <rFont val="Arial"/>
        <family val="2"/>
      </rPr>
      <t xml:space="preserve">(2) </t>
    </r>
    <r>
      <rPr>
        <sz val="10"/>
        <color theme="1"/>
        <rFont val="Arial"/>
        <family val="2"/>
      </rPr>
      <t>Excluye intereses pagados Intra-Sector Público Nacional por $2.153.522,6 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</si>
</sst>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"/>
    <numFmt numFmtId="166" formatCode="_-* #,##0.00\ [$€]_-;\-* #,##0.00\ [$€]_-;_-* &quot;-&quot;??\ [$€]_-;_-@_-"/>
    <numFmt numFmtId="167" formatCode="#,##0.0__"/>
    <numFmt numFmtId="168" formatCode="#,##0.0"/>
    <numFmt numFmtId="169" formatCode="#,##0.0____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0"/>
      <color indexed="8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8"/>
      <color indexed="8"/>
      <name val="CG Times"/>
    </font>
    <font>
      <b/>
      <i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0" fillId="0" borderId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5" fillId="0" borderId="0" xfId="0" applyFont="1"/>
    <xf numFmtId="0" fontId="9" fillId="0" borderId="0" xfId="0" applyFont="1"/>
    <xf numFmtId="0" fontId="18" fillId="0" borderId="0" xfId="0" applyFont="1"/>
    <xf numFmtId="165" fontId="5" fillId="0" borderId="0" xfId="0" applyNumberFormat="1" applyFont="1" applyAlignment="1">
      <alignment vertical="center"/>
    </xf>
    <xf numFmtId="165" fontId="5" fillId="0" borderId="5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13" fillId="0" borderId="0" xfId="0" applyNumberFormat="1" applyFont="1"/>
    <xf numFmtId="0" fontId="8" fillId="0" borderId="0" xfId="0" applyFont="1" applyAlignment="1">
      <alignment horizontal="left"/>
    </xf>
    <xf numFmtId="14" fontId="9" fillId="0" borderId="0" xfId="0" applyNumberFormat="1" applyFont="1"/>
    <xf numFmtId="165" fontId="6" fillId="0" borderId="0" xfId="0" applyNumberFormat="1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165" fontId="9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4" fontId="9" fillId="0" borderId="0" xfId="0" applyNumberFormat="1" applyFont="1" applyAlignment="1">
      <alignment horizontal="centerContinuous"/>
    </xf>
    <xf numFmtId="165" fontId="10" fillId="0" borderId="0" xfId="0" applyNumberFormat="1" applyFont="1" applyAlignment="1">
      <alignment horizontal="centerContinuous"/>
    </xf>
    <xf numFmtId="165" fontId="11" fillId="0" borderId="0" xfId="0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165" fontId="5" fillId="0" borderId="1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vertical="center"/>
    </xf>
    <xf numFmtId="165" fontId="12" fillId="0" borderId="2" xfId="0" applyNumberFormat="1" applyFont="1" applyBorder="1" applyAlignment="1">
      <alignment horizontal="centerContinuous" vertical="center"/>
    </xf>
    <xf numFmtId="165" fontId="9" fillId="0" borderId="2" xfId="0" applyNumberFormat="1" applyFont="1" applyBorder="1" applyAlignment="1">
      <alignment horizontal="centerContinuous" vertical="center"/>
    </xf>
    <xf numFmtId="165" fontId="9" fillId="0" borderId="2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vertical="center"/>
    </xf>
    <xf numFmtId="165" fontId="5" fillId="0" borderId="3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165" fontId="9" fillId="0" borderId="5" xfId="0" applyNumberFormat="1" applyFont="1" applyBorder="1" applyAlignment="1">
      <alignment horizontal="centerContinuous" vertical="center"/>
    </xf>
    <xf numFmtId="165" fontId="9" fillId="0" borderId="5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9" xfId="0" applyNumberFormat="1" applyFont="1" applyBorder="1" applyAlignment="1">
      <alignment horizontal="left" vertical="center"/>
    </xf>
    <xf numFmtId="165" fontId="9" fillId="0" borderId="0" xfId="0" applyNumberFormat="1" applyFont="1" applyAlignment="1">
      <alignment horizontal="centerContinuous" vertical="center"/>
    </xf>
    <xf numFmtId="165" fontId="9" fillId="0" borderId="0" xfId="0" applyNumberFormat="1" applyFont="1" applyAlignment="1">
      <alignment vertical="center"/>
    </xf>
    <xf numFmtId="165" fontId="9" fillId="0" borderId="9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horizontal="right" vertical="center"/>
    </xf>
    <xf numFmtId="165" fontId="9" fillId="0" borderId="5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0" borderId="10" xfId="0" applyNumberFormat="1" applyFont="1" applyBorder="1" applyAlignment="1">
      <alignment horizontal="right" vertical="center"/>
    </xf>
    <xf numFmtId="165" fontId="16" fillId="0" borderId="6" xfId="0" applyNumberFormat="1" applyFont="1" applyBorder="1" applyAlignment="1">
      <alignment horizontal="left" vertical="center"/>
    </xf>
    <xf numFmtId="0" fontId="0" fillId="0" borderId="1" xfId="0" applyBorder="1"/>
    <xf numFmtId="165" fontId="5" fillId="0" borderId="3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165" fontId="16" fillId="0" borderId="10" xfId="0" applyNumberFormat="1" applyFont="1" applyBorder="1" applyAlignment="1">
      <alignment horizontal="left" vertical="center"/>
    </xf>
    <xf numFmtId="165" fontId="5" fillId="0" borderId="6" xfId="0" applyNumberFormat="1" applyFont="1" applyBorder="1"/>
    <xf numFmtId="167" fontId="7" fillId="0" borderId="6" xfId="0" applyNumberFormat="1" applyFont="1" applyBorder="1"/>
    <xf numFmtId="167" fontId="7" fillId="0" borderId="11" xfId="0" applyNumberFormat="1" applyFont="1" applyBorder="1"/>
    <xf numFmtId="165" fontId="0" fillId="0" borderId="0" xfId="0" applyNumberFormat="1"/>
    <xf numFmtId="0" fontId="17" fillId="0" borderId="0" xfId="0" applyFont="1"/>
    <xf numFmtId="0" fontId="4" fillId="0" borderId="0" xfId="0" applyFont="1"/>
    <xf numFmtId="165" fontId="5" fillId="0" borderId="0" xfId="2" applyNumberFormat="1" applyAlignment="1">
      <alignment vertical="center"/>
    </xf>
    <xf numFmtId="165" fontId="4" fillId="0" borderId="0" xfId="2" applyNumberFormat="1" applyFont="1" applyAlignment="1">
      <alignment horizontal="left" vertical="center"/>
    </xf>
    <xf numFmtId="167" fontId="4" fillId="0" borderId="0" xfId="0" applyNumberFormat="1" applyFont="1" applyAlignment="1">
      <alignment horizontal="right" vertical="center"/>
    </xf>
    <xf numFmtId="167" fontId="4" fillId="0" borderId="9" xfId="0" applyNumberFormat="1" applyFont="1" applyBorder="1" applyAlignment="1">
      <alignment horizontal="right" vertical="center"/>
    </xf>
    <xf numFmtId="167" fontId="5" fillId="0" borderId="0" xfId="0" applyNumberFormat="1" applyFont="1"/>
    <xf numFmtId="167" fontId="5" fillId="0" borderId="0" xfId="0" applyNumberFormat="1" applyFont="1" applyAlignment="1">
      <alignment horizontal="right" vertical="center"/>
    </xf>
    <xf numFmtId="167" fontId="5" fillId="0" borderId="9" xfId="0" applyNumberFormat="1" applyFont="1" applyBorder="1" applyAlignment="1">
      <alignment horizontal="right" vertical="center"/>
    </xf>
    <xf numFmtId="167" fontId="4" fillId="0" borderId="0" xfId="0" applyNumberFormat="1" applyFont="1"/>
    <xf numFmtId="168" fontId="19" fillId="0" borderId="0" xfId="4" applyNumberFormat="1" applyFont="1"/>
    <xf numFmtId="167" fontId="4" fillId="0" borderId="2" xfId="0" applyNumberFormat="1" applyFont="1" applyBorder="1" applyAlignment="1">
      <alignment horizontal="right" vertical="center"/>
    </xf>
    <xf numFmtId="167" fontId="4" fillId="0" borderId="7" xfId="0" applyNumberFormat="1" applyFont="1" applyBorder="1" applyAlignment="1">
      <alignment horizontal="right" vertical="center"/>
    </xf>
    <xf numFmtId="167" fontId="4" fillId="0" borderId="6" xfId="0" applyNumberFormat="1" applyFont="1" applyBorder="1" applyAlignment="1">
      <alignment horizontal="right" vertical="center"/>
    </xf>
    <xf numFmtId="167" fontId="4" fillId="0" borderId="11" xfId="0" applyNumberFormat="1" applyFont="1" applyBorder="1" applyAlignment="1">
      <alignment horizontal="right" vertical="center"/>
    </xf>
    <xf numFmtId="169" fontId="5" fillId="0" borderId="0" xfId="0" applyNumberFormat="1" applyFont="1"/>
    <xf numFmtId="169" fontId="5" fillId="0" borderId="7" xfId="0" applyNumberFormat="1" applyFont="1" applyBorder="1"/>
    <xf numFmtId="0" fontId="8" fillId="0" borderId="0" xfId="2" applyFont="1" applyAlignment="1">
      <alignment horizontal="left"/>
    </xf>
    <xf numFmtId="165" fontId="5" fillId="0" borderId="0" xfId="2" applyNumberFormat="1" applyAlignment="1">
      <alignment horizontal="left"/>
    </xf>
    <xf numFmtId="165" fontId="4" fillId="0" borderId="2" xfId="0" applyNumberFormat="1" applyFont="1" applyBorder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165" fontId="7" fillId="0" borderId="0" xfId="0" applyNumberFormat="1" applyFont="1" applyAlignment="1">
      <alignment horizontal="centerContinuous"/>
    </xf>
    <xf numFmtId="14" fontId="7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/>
    </xf>
    <xf numFmtId="165" fontId="7" fillId="0" borderId="2" xfId="0" applyNumberFormat="1" applyFont="1" applyBorder="1" applyAlignment="1">
      <alignment horizontal="centerContinuous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Continuous" vertic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left" vertical="center"/>
    </xf>
    <xf numFmtId="165" fontId="7" fillId="0" borderId="0" xfId="0" applyNumberFormat="1" applyFont="1" applyAlignment="1">
      <alignment horizontal="centerContinuous" vertical="center"/>
    </xf>
    <xf numFmtId="165" fontId="7" fillId="0" borderId="0" xfId="0" applyNumberFormat="1" applyFont="1" applyAlignment="1">
      <alignment vertical="center"/>
    </xf>
    <xf numFmtId="165" fontId="7" fillId="0" borderId="9" xfId="0" applyNumberFormat="1" applyFont="1" applyBorder="1" applyAlignment="1">
      <alignment vertical="center"/>
    </xf>
    <xf numFmtId="165" fontId="7" fillId="0" borderId="5" xfId="0" applyNumberFormat="1" applyFont="1" applyBorder="1" applyAlignment="1">
      <alignment horizontal="left" vertical="center"/>
    </xf>
    <xf numFmtId="165" fontId="7" fillId="0" borderId="8" xfId="0" applyNumberFormat="1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left" vertical="center"/>
    </xf>
    <xf numFmtId="165" fontId="4" fillId="0" borderId="10" xfId="0" applyNumberFormat="1" applyFont="1" applyBorder="1" applyAlignment="1">
      <alignment horizontal="left" vertical="center"/>
    </xf>
    <xf numFmtId="165" fontId="21" fillId="2" borderId="0" xfId="2" applyNumberFormat="1" applyFont="1" applyFill="1" applyAlignment="1">
      <alignment vertical="center"/>
    </xf>
    <xf numFmtId="168" fontId="9" fillId="0" borderId="0" xfId="0" applyNumberFormat="1" applyFont="1"/>
    <xf numFmtId="167" fontId="0" fillId="0" borderId="0" xfId="0" applyNumberFormat="1"/>
    <xf numFmtId="49" fontId="5" fillId="0" borderId="0" xfId="2" applyNumberFormat="1" applyAlignment="1">
      <alignment horizontal="left" vertical="center"/>
    </xf>
    <xf numFmtId="165" fontId="4" fillId="0" borderId="0" xfId="2" applyNumberFormat="1" applyFont="1" applyAlignment="1">
      <alignment horizontal="left" vertical="top" wrapText="1"/>
    </xf>
    <xf numFmtId="49" fontId="5" fillId="2" borderId="0" xfId="2" applyNumberFormat="1" applyFill="1" applyAlignment="1">
      <alignment horizontal="left" vertical="center"/>
    </xf>
    <xf numFmtId="49" fontId="5" fillId="2" borderId="0" xfId="2" applyNumberFormat="1" applyFill="1" applyAlignment="1">
      <alignment horizontal="left" vertical="center" wrapText="1"/>
    </xf>
    <xf numFmtId="49" fontId="21" fillId="0" borderId="0" xfId="2" applyNumberFormat="1" applyFont="1" applyAlignment="1">
      <alignment horizontal="left" vertical="center" wrapText="1"/>
    </xf>
    <xf numFmtId="165" fontId="21" fillId="0" borderId="0" xfId="2" applyNumberFormat="1" applyFont="1" applyAlignment="1">
      <alignment vertical="center"/>
    </xf>
    <xf numFmtId="168" fontId="7" fillId="0" borderId="0" xfId="0" applyNumberFormat="1" applyFont="1"/>
    <xf numFmtId="4" fontId="9" fillId="0" borderId="0" xfId="0" applyNumberFormat="1" applyFont="1"/>
  </cellXfs>
  <cellStyles count="15">
    <cellStyle name="Cambiar to&amp;do" xfId="3" xr:uid="{00000000-0005-0000-0000-000000000000}"/>
    <cellStyle name="Euro" xfId="1" xr:uid="{00000000-0005-0000-0000-000001000000}"/>
    <cellStyle name="Millares 2" xfId="7" xr:uid="{00000000-0005-0000-0000-000002000000}"/>
    <cellStyle name="Millares 3" xfId="12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2 3" xfId="13" xr:uid="{00000000-0005-0000-0000-000007000000}"/>
    <cellStyle name="Normal 3" xfId="5" xr:uid="{00000000-0005-0000-0000-000008000000}"/>
    <cellStyle name="Normal 3 2" xfId="9" xr:uid="{00000000-0005-0000-0000-000009000000}"/>
    <cellStyle name="Normal 4" xfId="6" xr:uid="{00000000-0005-0000-0000-00000A000000}"/>
    <cellStyle name="Normal 5" xfId="11" xr:uid="{00000000-0005-0000-0000-00000B000000}"/>
    <cellStyle name="Normal_AIF" xfId="4" xr:uid="{00000000-0005-0000-0000-00000C000000}"/>
    <cellStyle name="Porcentaje 2" xfId="10" xr:uid="{00000000-0005-0000-0000-00000D000000}"/>
    <cellStyle name="Porcentaje 3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ja/Caja2026/PROYxMESok/PROY3T26.xlsx" TargetMode="External"/><Relationship Id="rId2" Type="http://schemas.openxmlformats.org/officeDocument/2006/relationships/externalLinkPath" Target="file:///I:\Caja\Caja2026\PROYxMESok\PROY3T26.xlsx" TargetMode="External"/><Relationship Id="rId1" Type="http://schemas.openxmlformats.org/officeDocument/2006/relationships/externalLinkPath" Target="/Caja/Caja2026/PROYxMESok/PROY3T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IF"/>
      <sheetName val="TN, RA y OD"/>
      <sheetName val="EP Y OTROS"/>
    </sheetNames>
    <sheetDataSet>
      <sheetData sheetId="0">
        <row r="453">
          <cell r="C453">
            <v>38770838</v>
          </cell>
          <cell r="D453">
            <v>3923620.9</v>
          </cell>
          <cell r="E453">
            <v>2222651.8000000003</v>
          </cell>
          <cell r="F453">
            <v>53653893.599999994</v>
          </cell>
          <cell r="G453">
            <v>98571004.299999982</v>
          </cell>
          <cell r="H453">
            <v>12539221.1</v>
          </cell>
          <cell r="I453">
            <v>111110225.39999998</v>
          </cell>
        </row>
        <row r="454">
          <cell r="C454">
            <v>37621702.600000001</v>
          </cell>
          <cell r="D454">
            <v>2773025.8</v>
          </cell>
          <cell r="E454">
            <v>952240.6</v>
          </cell>
          <cell r="F454">
            <v>17895079.699999999</v>
          </cell>
          <cell r="G454">
            <v>59242048.700000003</v>
          </cell>
          <cell r="H454">
            <v>3548736.3</v>
          </cell>
          <cell r="I454">
            <v>62790785</v>
          </cell>
        </row>
        <row r="455">
          <cell r="C455">
            <v>0</v>
          </cell>
          <cell r="D455">
            <v>4178.3</v>
          </cell>
          <cell r="E455">
            <v>62412.1</v>
          </cell>
          <cell r="F455">
            <v>34883429.399999999</v>
          </cell>
          <cell r="G455">
            <v>34950019.799999997</v>
          </cell>
          <cell r="H455">
            <v>5244780.4000000004</v>
          </cell>
          <cell r="I455">
            <v>40194800.199999996</v>
          </cell>
        </row>
        <row r="456">
          <cell r="C456">
            <v>156520</v>
          </cell>
          <cell r="D456">
            <v>1041056.7</v>
          </cell>
          <cell r="E456">
            <v>1105419.7000000002</v>
          </cell>
          <cell r="F456">
            <v>57492.600000000006</v>
          </cell>
          <cell r="G456">
            <v>2360489.0000000005</v>
          </cell>
          <cell r="H456">
            <v>1007536.3999999999</v>
          </cell>
          <cell r="I456">
            <v>3368025.4000000004</v>
          </cell>
        </row>
        <row r="457">
          <cell r="C457">
            <v>53.5</v>
          </cell>
          <cell r="D457">
            <v>98958.1</v>
          </cell>
          <cell r="E457">
            <v>96778.4</v>
          </cell>
          <cell r="F457">
            <v>0</v>
          </cell>
          <cell r="G457">
            <v>195790</v>
          </cell>
          <cell r="H457">
            <v>0</v>
          </cell>
          <cell r="I457">
            <v>195790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C459">
            <v>956671.99999999988</v>
          </cell>
          <cell r="D459">
            <v>4367</v>
          </cell>
          <cell r="E459">
            <v>5360.0999999999995</v>
          </cell>
          <cell r="F459">
            <v>817891.9</v>
          </cell>
          <cell r="G459">
            <v>1784291</v>
          </cell>
          <cell r="H459">
            <v>1312960.9000000001</v>
          </cell>
          <cell r="I459">
            <v>3097251.9000000004</v>
          </cell>
        </row>
        <row r="460">
          <cell r="C460">
            <v>35889.899999999994</v>
          </cell>
          <cell r="D460">
            <v>2035</v>
          </cell>
          <cell r="E460">
            <v>440.90000000000003</v>
          </cell>
          <cell r="F460">
            <v>0</v>
          </cell>
          <cell r="G460">
            <v>38365.799999999996</v>
          </cell>
          <cell r="H460">
            <v>11532.6</v>
          </cell>
          <cell r="I460">
            <v>49898.399999999994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199142.3</v>
          </cell>
          <cell r="I461">
            <v>199142.3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1214532.2</v>
          </cell>
          <cell r="I462">
            <v>1214532.2</v>
          </cell>
        </row>
        <row r="464">
          <cell r="C464">
            <v>30277572.200000003</v>
          </cell>
          <cell r="D464">
            <v>5625542</v>
          </cell>
          <cell r="E464">
            <v>2487673.4</v>
          </cell>
          <cell r="F464">
            <v>55832222.599999994</v>
          </cell>
          <cell r="G464">
            <v>94223010.199999988</v>
          </cell>
          <cell r="H464">
            <v>13742880.6</v>
          </cell>
          <cell r="I464">
            <v>107965890.79999998</v>
          </cell>
        </row>
        <row r="465">
          <cell r="C465">
            <v>8476798.0999999996</v>
          </cell>
          <cell r="D465">
            <v>1900006.0999999999</v>
          </cell>
          <cell r="E465">
            <v>2356994.6</v>
          </cell>
          <cell r="F465">
            <v>731191.2</v>
          </cell>
          <cell r="G465">
            <v>13464989.999999998</v>
          </cell>
          <cell r="H465">
            <v>3353018.7</v>
          </cell>
          <cell r="I465">
            <v>16818008.699999999</v>
          </cell>
        </row>
        <row r="466">
          <cell r="C466">
            <v>6972465.7999999998</v>
          </cell>
          <cell r="D466">
            <v>1587612.5999999999</v>
          </cell>
          <cell r="E466">
            <v>1817371.2</v>
          </cell>
          <cell r="F466">
            <v>626271</v>
          </cell>
          <cell r="G466">
            <v>11003720.6</v>
          </cell>
          <cell r="H466">
            <v>2132836.2000000002</v>
          </cell>
          <cell r="I466">
            <v>13136556.800000001</v>
          </cell>
        </row>
        <row r="467">
          <cell r="C467">
            <v>1504255.3</v>
          </cell>
          <cell r="D467">
            <v>312385</v>
          </cell>
          <cell r="E467">
            <v>539582.30000000005</v>
          </cell>
          <cell r="F467">
            <v>104920.2</v>
          </cell>
          <cell r="G467">
            <v>2461142.8000000003</v>
          </cell>
          <cell r="H467">
            <v>1213780.8</v>
          </cell>
          <cell r="I467">
            <v>3674923.6000000006</v>
          </cell>
        </row>
        <row r="468">
          <cell r="C468">
            <v>77</v>
          </cell>
          <cell r="D468">
            <v>8.5</v>
          </cell>
          <cell r="E468">
            <v>41.1</v>
          </cell>
          <cell r="F468">
            <v>0</v>
          </cell>
          <cell r="G468">
            <v>126.6</v>
          </cell>
          <cell r="H468">
            <v>6401.7000000000007</v>
          </cell>
          <cell r="I468">
            <v>6528.3000000000011</v>
          </cell>
        </row>
        <row r="469">
          <cell r="C469">
            <v>9919978.6000000015</v>
          </cell>
          <cell r="D469">
            <v>1014.8</v>
          </cell>
          <cell r="E469">
            <v>3145.2999999999997</v>
          </cell>
          <cell r="F469">
            <v>0</v>
          </cell>
          <cell r="G469">
            <v>9924138.700000003</v>
          </cell>
          <cell r="H469">
            <v>28496.400000000001</v>
          </cell>
          <cell r="I469">
            <v>9952635.1000000034</v>
          </cell>
        </row>
        <row r="470">
          <cell r="C470">
            <v>9919331.7000000011</v>
          </cell>
          <cell r="D470">
            <v>0</v>
          </cell>
          <cell r="E470">
            <v>1061.0999999999999</v>
          </cell>
          <cell r="F470">
            <v>0</v>
          </cell>
          <cell r="G470">
            <v>9920392.8000000007</v>
          </cell>
          <cell r="H470">
            <v>20671.100000000002</v>
          </cell>
          <cell r="I470">
            <v>9941063.9000000004</v>
          </cell>
        </row>
        <row r="471">
          <cell r="C471">
            <v>646.90000000000009</v>
          </cell>
          <cell r="D471">
            <v>1014.8</v>
          </cell>
          <cell r="E471">
            <v>2084.1999999999998</v>
          </cell>
          <cell r="F471">
            <v>0</v>
          </cell>
          <cell r="G471">
            <v>3745.8999999999996</v>
          </cell>
          <cell r="H471">
            <v>7825.2999999999993</v>
          </cell>
          <cell r="I471">
            <v>11571.199999999999</v>
          </cell>
        </row>
        <row r="472">
          <cell r="C472">
            <v>0</v>
          </cell>
          <cell r="D472">
            <v>2628833.7000000002</v>
          </cell>
          <cell r="E472">
            <v>0</v>
          </cell>
          <cell r="F472">
            <v>44746927.299999997</v>
          </cell>
          <cell r="G472">
            <v>47375761</v>
          </cell>
          <cell r="H472">
            <v>0</v>
          </cell>
          <cell r="I472">
            <v>47375761</v>
          </cell>
        </row>
        <row r="473">
          <cell r="C473">
            <v>2805.6</v>
          </cell>
          <cell r="D473">
            <v>33892.400000000009</v>
          </cell>
          <cell r="E473">
            <v>3017.5</v>
          </cell>
          <cell r="F473">
            <v>0</v>
          </cell>
          <cell r="G473">
            <v>39715.500000000007</v>
          </cell>
          <cell r="H473">
            <v>109378.40000000001</v>
          </cell>
          <cell r="I473">
            <v>149093.90000000002</v>
          </cell>
        </row>
        <row r="474">
          <cell r="C474">
            <v>11877989.900000002</v>
          </cell>
          <cell r="D474">
            <v>1061795</v>
          </cell>
          <cell r="E474">
            <v>124515.99999999999</v>
          </cell>
          <cell r="F474">
            <v>10354104.099999998</v>
          </cell>
          <cell r="G474">
            <v>23418405</v>
          </cell>
          <cell r="H474">
            <v>8331458.7000000002</v>
          </cell>
          <cell r="I474">
            <v>31749863.699999999</v>
          </cell>
        </row>
        <row r="475">
          <cell r="C475">
            <v>6789906.1000000015</v>
          </cell>
          <cell r="D475">
            <v>831595.2</v>
          </cell>
          <cell r="E475">
            <v>98101.099999999991</v>
          </cell>
          <cell r="F475">
            <v>10205937.399999999</v>
          </cell>
          <cell r="G475">
            <v>17925539.800000001</v>
          </cell>
          <cell r="H475">
            <v>8033632.6000000006</v>
          </cell>
          <cell r="I475">
            <v>25959172.400000002</v>
          </cell>
        </row>
        <row r="476">
          <cell r="C476">
            <v>5084834.4000000004</v>
          </cell>
          <cell r="D476">
            <v>171636.19999999998</v>
          </cell>
          <cell r="E476">
            <v>21304</v>
          </cell>
          <cell r="F476">
            <v>148166.70000000001</v>
          </cell>
          <cell r="G476">
            <v>5425941.3000000007</v>
          </cell>
          <cell r="H476">
            <v>297070.09999999998</v>
          </cell>
          <cell r="I476">
            <v>5723011.4000000004</v>
          </cell>
        </row>
        <row r="477">
          <cell r="C477">
            <v>910372.2</v>
          </cell>
          <cell r="D477">
            <v>162225.4</v>
          </cell>
          <cell r="E477">
            <v>21283.8</v>
          </cell>
          <cell r="F477">
            <v>148166.70000000001</v>
          </cell>
          <cell r="G477">
            <v>1242048.0999999999</v>
          </cell>
          <cell r="H477">
            <v>294203</v>
          </cell>
          <cell r="I477">
            <v>1536251.0999999999</v>
          </cell>
        </row>
        <row r="478">
          <cell r="C478">
            <v>3597402.5</v>
          </cell>
          <cell r="D478">
            <v>0</v>
          </cell>
          <cell r="E478">
            <v>20.2</v>
          </cell>
          <cell r="F478">
            <v>0</v>
          </cell>
          <cell r="G478">
            <v>3597422.7</v>
          </cell>
          <cell r="H478">
            <v>0</v>
          </cell>
          <cell r="I478">
            <v>3597422.7</v>
          </cell>
        </row>
        <row r="479">
          <cell r="C479">
            <v>577059.70000000019</v>
          </cell>
          <cell r="D479">
            <v>9410.7999999999993</v>
          </cell>
          <cell r="E479">
            <v>0</v>
          </cell>
          <cell r="F479">
            <v>0</v>
          </cell>
          <cell r="G479">
            <v>586470.50000000023</v>
          </cell>
          <cell r="H479">
            <v>2867.1</v>
          </cell>
          <cell r="I479">
            <v>589337.60000000021</v>
          </cell>
        </row>
        <row r="480">
          <cell r="C480">
            <v>3249.3999999999996</v>
          </cell>
          <cell r="D480">
            <v>58563.6</v>
          </cell>
          <cell r="E480">
            <v>5110.8999999999996</v>
          </cell>
          <cell r="F480">
            <v>0</v>
          </cell>
          <cell r="G480">
            <v>66923.899999999994</v>
          </cell>
          <cell r="H480">
            <v>756</v>
          </cell>
          <cell r="I480">
            <v>67679.899999999994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1920528.4</v>
          </cell>
          <cell r="I482">
            <v>1920528.4</v>
          </cell>
        </row>
        <row r="484">
          <cell r="C484">
            <v>8493265.799999997</v>
          </cell>
          <cell r="D484">
            <v>-1701921.1</v>
          </cell>
          <cell r="E484">
            <v>-265021.59999999963</v>
          </cell>
          <cell r="F484">
            <v>-2178329</v>
          </cell>
          <cell r="G484">
            <v>4347994.0999999978</v>
          </cell>
          <cell r="H484">
            <v>-1203659.5</v>
          </cell>
          <cell r="I484">
            <v>3144334.5999999978</v>
          </cell>
        </row>
        <row r="486">
          <cell r="C486">
            <v>1252806.6000000001</v>
          </cell>
          <cell r="D486">
            <v>2247.6999999999998</v>
          </cell>
          <cell r="E486">
            <v>704.49999999999727</v>
          </cell>
          <cell r="F486">
            <v>0</v>
          </cell>
          <cell r="G486">
            <v>1255758.8</v>
          </cell>
          <cell r="H486">
            <v>9482.9000000000015</v>
          </cell>
          <cell r="I486">
            <v>1265241.7</v>
          </cell>
        </row>
        <row r="488">
          <cell r="C488">
            <v>305755.5</v>
          </cell>
          <cell r="D488">
            <v>116833.8</v>
          </cell>
          <cell r="E488">
            <v>355141.5</v>
          </cell>
          <cell r="F488">
            <v>1619.8</v>
          </cell>
          <cell r="G488">
            <v>779350.60000000009</v>
          </cell>
          <cell r="H488">
            <v>1293605.9000000001</v>
          </cell>
          <cell r="I488">
            <v>2072956.5000000002</v>
          </cell>
        </row>
        <row r="489">
          <cell r="C489">
            <v>138005.79999999999</v>
          </cell>
          <cell r="D489">
            <v>64350.5</v>
          </cell>
          <cell r="E489">
            <v>345753.8</v>
          </cell>
          <cell r="F489">
            <v>1619.8</v>
          </cell>
          <cell r="G489">
            <v>549729.9</v>
          </cell>
          <cell r="H489">
            <v>984504.90000000014</v>
          </cell>
          <cell r="I489">
            <v>1534234.8000000003</v>
          </cell>
        </row>
        <row r="490">
          <cell r="C490">
            <v>43088.000000000015</v>
          </cell>
          <cell r="D490">
            <v>52483.3</v>
          </cell>
          <cell r="E490">
            <v>6925.3</v>
          </cell>
          <cell r="F490">
            <v>0</v>
          </cell>
          <cell r="G490">
            <v>102496.60000000002</v>
          </cell>
          <cell r="H490">
            <v>309101</v>
          </cell>
          <cell r="I490">
            <v>411597.60000000003</v>
          </cell>
        </row>
        <row r="491">
          <cell r="C491">
            <v>37289.800000000003</v>
          </cell>
          <cell r="D491">
            <v>32317.299999999996</v>
          </cell>
          <cell r="E491">
            <v>3678.3</v>
          </cell>
          <cell r="F491">
            <v>0</v>
          </cell>
          <cell r="G491">
            <v>73285.400000000009</v>
          </cell>
          <cell r="H491">
            <v>119271</v>
          </cell>
          <cell r="I491">
            <v>192556.40000000002</v>
          </cell>
        </row>
        <row r="492">
          <cell r="C492">
            <v>5798.200000000008</v>
          </cell>
          <cell r="D492">
            <v>20166.000000000004</v>
          </cell>
          <cell r="E492">
            <v>3247</v>
          </cell>
          <cell r="F492">
            <v>0</v>
          </cell>
          <cell r="G492">
            <v>29211.200000000012</v>
          </cell>
          <cell r="H492">
            <v>189830</v>
          </cell>
          <cell r="I492">
            <v>219041.2</v>
          </cell>
        </row>
        <row r="493">
          <cell r="C493">
            <v>124661.70000000001</v>
          </cell>
          <cell r="D493">
            <v>0</v>
          </cell>
          <cell r="E493">
            <v>2462.4</v>
          </cell>
          <cell r="F493">
            <v>0</v>
          </cell>
          <cell r="G493">
            <v>127124.1</v>
          </cell>
          <cell r="H493">
            <v>0</v>
          </cell>
          <cell r="I493">
            <v>127124.1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</row>
        <row r="495">
          <cell r="C495">
            <v>124661.70000000001</v>
          </cell>
          <cell r="D495">
            <v>0</v>
          </cell>
          <cell r="E495">
            <v>2462.4</v>
          </cell>
          <cell r="F495">
            <v>0</v>
          </cell>
          <cell r="G495">
            <v>127124.1</v>
          </cell>
          <cell r="H495">
            <v>0</v>
          </cell>
          <cell r="I495">
            <v>127124.1</v>
          </cell>
        </row>
        <row r="497">
          <cell r="C497">
            <v>40023644.600000001</v>
          </cell>
          <cell r="D497">
            <v>3925868.6</v>
          </cell>
          <cell r="E497">
            <v>2223356.3000000003</v>
          </cell>
          <cell r="F497">
            <v>53653893.599999994</v>
          </cell>
          <cell r="G497">
            <v>99826763.099999994</v>
          </cell>
          <cell r="H497">
            <v>12548704</v>
          </cell>
          <cell r="I497">
            <v>112375467.09999999</v>
          </cell>
        </row>
        <row r="498">
          <cell r="C498">
            <v>30583327.700000003</v>
          </cell>
          <cell r="D498">
            <v>5742375.7999999998</v>
          </cell>
          <cell r="E498">
            <v>2842814.9</v>
          </cell>
          <cell r="F498">
            <v>55833842.399999991</v>
          </cell>
          <cell r="G498">
            <v>95002360.799999982</v>
          </cell>
          <cell r="H498">
            <v>15036486.5</v>
          </cell>
          <cell r="I498">
            <v>110038847.29999998</v>
          </cell>
        </row>
        <row r="499">
          <cell r="C499">
            <v>9440316.8999999985</v>
          </cell>
          <cell r="D499">
            <v>-1816507.1999999997</v>
          </cell>
          <cell r="E499">
            <v>-619458.59999999963</v>
          </cell>
          <cell r="F499">
            <v>-2179948.799999997</v>
          </cell>
          <cell r="G499">
            <v>4824402.3000000026</v>
          </cell>
          <cell r="H499">
            <v>-2487782.5</v>
          </cell>
          <cell r="I499">
            <v>2336619.8000000026</v>
          </cell>
        </row>
        <row r="501">
          <cell r="C501">
            <v>112500</v>
          </cell>
          <cell r="D501">
            <v>3378847.5</v>
          </cell>
          <cell r="E501">
            <v>1793022.9000000001</v>
          </cell>
          <cell r="F501">
            <v>10494902.199999999</v>
          </cell>
          <cell r="G501">
            <v>15779272.6</v>
          </cell>
          <cell r="H501">
            <v>5507756.5999999996</v>
          </cell>
          <cell r="I501">
            <v>21287029.199999999</v>
          </cell>
        </row>
        <row r="502">
          <cell r="C502">
            <v>0</v>
          </cell>
          <cell r="D502">
            <v>0</v>
          </cell>
          <cell r="E502">
            <v>1627992.7000000002</v>
          </cell>
          <cell r="F502">
            <v>8400000</v>
          </cell>
          <cell r="G502">
            <v>10027992.699999999</v>
          </cell>
          <cell r="H502">
            <v>3668663.8</v>
          </cell>
          <cell r="I502">
            <v>13696656.5</v>
          </cell>
        </row>
        <row r="503">
          <cell r="C503">
            <v>25000</v>
          </cell>
          <cell r="D503">
            <v>8663.2999999999993</v>
          </cell>
          <cell r="E503">
            <v>20750.5</v>
          </cell>
          <cell r="F503">
            <v>0</v>
          </cell>
          <cell r="G503">
            <v>54413.8</v>
          </cell>
          <cell r="H503">
            <v>108850.79999999999</v>
          </cell>
          <cell r="I503">
            <v>163264.59999999998</v>
          </cell>
        </row>
        <row r="504">
          <cell r="C504">
            <v>87500</v>
          </cell>
          <cell r="D504">
            <v>2374.3000000000002</v>
          </cell>
          <cell r="E504">
            <v>99</v>
          </cell>
          <cell r="F504">
            <v>0</v>
          </cell>
          <cell r="G504">
            <v>89973.3</v>
          </cell>
          <cell r="H504">
            <v>3.8</v>
          </cell>
          <cell r="I504">
            <v>89977.1</v>
          </cell>
        </row>
        <row r="505">
          <cell r="C505">
            <v>0</v>
          </cell>
          <cell r="D505">
            <v>3367809.9</v>
          </cell>
          <cell r="E505">
            <v>0</v>
          </cell>
          <cell r="F505">
            <v>2094902.2000000002</v>
          </cell>
          <cell r="G505">
            <v>5462712.0999999996</v>
          </cell>
          <cell r="H505">
            <v>1677646.4999999998</v>
          </cell>
          <cell r="I505">
            <v>7140358.5999999996</v>
          </cell>
        </row>
        <row r="506">
          <cell r="C506">
            <v>0</v>
          </cell>
          <cell r="D506">
            <v>0</v>
          </cell>
          <cell r="E506">
            <v>144180.70000000001</v>
          </cell>
          <cell r="F506">
            <v>0</v>
          </cell>
          <cell r="G506">
            <v>144180.70000000001</v>
          </cell>
          <cell r="H506">
            <v>52591.7</v>
          </cell>
          <cell r="I506">
            <v>196772.40000000002</v>
          </cell>
        </row>
        <row r="507">
          <cell r="C507">
            <v>13696656.5</v>
          </cell>
          <cell r="D507">
            <v>163264.59999999998</v>
          </cell>
          <cell r="E507">
            <v>89977.1</v>
          </cell>
          <cell r="F507">
            <v>7140358.5999999996</v>
          </cell>
          <cell r="G507">
            <v>21090256.799999997</v>
          </cell>
          <cell r="H507">
            <v>196772.40000000002</v>
          </cell>
          <cell r="I507">
            <v>21287029.199999996</v>
          </cell>
        </row>
        <row r="509">
          <cell r="C509">
            <v>40136144.600000001</v>
          </cell>
          <cell r="D509">
            <v>7304716.0999999996</v>
          </cell>
          <cell r="E509">
            <v>4016379.2</v>
          </cell>
          <cell r="F509">
            <v>64148795.799999997</v>
          </cell>
          <cell r="G509">
            <v>115606035.7</v>
          </cell>
          <cell r="H509">
            <v>18056460.600000001</v>
          </cell>
          <cell r="I509">
            <v>133662496.30000001</v>
          </cell>
        </row>
        <row r="510">
          <cell r="C510">
            <v>34360652.5</v>
          </cell>
          <cell r="D510">
            <v>5905640.3999999994</v>
          </cell>
          <cell r="E510">
            <v>2931730.9</v>
          </cell>
          <cell r="F510">
            <v>62974200.999999993</v>
          </cell>
          <cell r="G510">
            <v>106172224.79999998</v>
          </cell>
          <cell r="H510">
            <v>15212587.800000001</v>
          </cell>
          <cell r="I510">
            <v>121384812.59999998</v>
          </cell>
        </row>
        <row r="511">
          <cell r="C511">
            <v>44279984.200000003</v>
          </cell>
          <cell r="D511">
            <v>5905640.3999999994</v>
          </cell>
          <cell r="E511">
            <v>2932792</v>
          </cell>
          <cell r="F511">
            <v>62974200.999999993</v>
          </cell>
          <cell r="G511">
            <v>116092617.59999999</v>
          </cell>
          <cell r="H511">
            <v>15233258.9</v>
          </cell>
          <cell r="I511">
            <v>131325876.5</v>
          </cell>
        </row>
        <row r="512">
          <cell r="C512">
            <v>5775492.1000000015</v>
          </cell>
          <cell r="D512">
            <v>1399075.7000000002</v>
          </cell>
          <cell r="E512">
            <v>1084648.3000000003</v>
          </cell>
          <cell r="F512">
            <v>1174594.8000000045</v>
          </cell>
          <cell r="G512">
            <v>9433810.900000006</v>
          </cell>
          <cell r="H512">
            <v>2843872.8000000007</v>
          </cell>
          <cell r="I512">
            <v>12277683.700000007</v>
          </cell>
        </row>
        <row r="513">
          <cell r="C513">
            <v>-4143839.6000000015</v>
          </cell>
          <cell r="D513">
            <v>1399075.7000000002</v>
          </cell>
          <cell r="E513">
            <v>1083587.2000000002</v>
          </cell>
          <cell r="F513">
            <v>1174594.8000000045</v>
          </cell>
          <cell r="G513">
            <v>-486581.89999999665</v>
          </cell>
          <cell r="H513">
            <v>2823201.7000000011</v>
          </cell>
          <cell r="I513">
            <v>2336619.8000000045</v>
          </cell>
        </row>
        <row r="515">
          <cell r="C515">
            <v>24400000</v>
          </cell>
          <cell r="D515">
            <v>0</v>
          </cell>
          <cell r="E515">
            <v>0</v>
          </cell>
          <cell r="F515">
            <v>0</v>
          </cell>
          <cell r="G515">
            <v>24400000</v>
          </cell>
          <cell r="H515">
            <v>0</v>
          </cell>
          <cell r="I515">
            <v>24400000</v>
          </cell>
        </row>
        <row r="516">
          <cell r="C516">
            <v>0</v>
          </cell>
          <cell r="D516">
            <v>0</v>
          </cell>
          <cell r="E516">
            <v>4871.6000000000004</v>
          </cell>
          <cell r="F516">
            <v>2148548.7999999998</v>
          </cell>
          <cell r="G516">
            <v>2153420.4</v>
          </cell>
          <cell r="H516">
            <v>102.2</v>
          </cell>
          <cell r="I516">
            <v>2153522.6</v>
          </cell>
        </row>
        <row r="517">
          <cell r="C517">
            <v>2150339.6999999997</v>
          </cell>
          <cell r="D517">
            <v>0</v>
          </cell>
          <cell r="E517">
            <v>0</v>
          </cell>
          <cell r="F517">
            <v>0</v>
          </cell>
          <cell r="G517">
            <v>2150339.6999999997</v>
          </cell>
          <cell r="H517">
            <v>3182.8999999999996</v>
          </cell>
          <cell r="I517">
            <v>2153522.5999999996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I87"/>
  <sheetViews>
    <sheetView showGridLines="0" tabSelected="1" view="pageBreakPreview" topLeftCell="A4" zoomScale="60" zoomScaleNormal="100" workbookViewId="0">
      <selection activeCell="N34" sqref="N34"/>
    </sheetView>
  </sheetViews>
  <sheetFormatPr baseColWidth="10" defaultRowHeight="12.75"/>
  <cols>
    <col min="1" max="1" width="5.7109375" customWidth="1"/>
    <col min="2" max="2" width="49" bestFit="1" customWidth="1"/>
    <col min="3" max="3" width="12.7109375" style="2" bestFit="1" customWidth="1"/>
    <col min="4" max="4" width="11.7109375" style="2" bestFit="1" customWidth="1"/>
    <col min="5" max="5" width="10.42578125" style="2" customWidth="1"/>
    <col min="6" max="7" width="12.7109375" style="2" bestFit="1" customWidth="1"/>
    <col min="8" max="8" width="12.28515625" style="2" customWidth="1"/>
    <col min="9" max="9" width="12.7109375" style="2" bestFit="1" customWidth="1"/>
  </cols>
  <sheetData>
    <row r="1" spans="1:9">
      <c r="A1" s="67" t="s">
        <v>83</v>
      </c>
      <c r="B1" s="51"/>
    </row>
    <row r="2" spans="1:9">
      <c r="A2" s="68" t="s">
        <v>84</v>
      </c>
      <c r="B2" s="3"/>
    </row>
    <row r="3" spans="1:9" ht="15" customHeight="1">
      <c r="A3" s="8"/>
      <c r="I3" s="9"/>
    </row>
    <row r="4" spans="1:9" ht="15">
      <c r="A4" s="10" t="s">
        <v>98</v>
      </c>
      <c r="B4" s="11"/>
      <c r="C4" s="12"/>
      <c r="D4" s="12"/>
      <c r="E4" s="12"/>
      <c r="F4" s="12"/>
      <c r="G4" s="12"/>
      <c r="H4" s="13"/>
      <c r="I4" s="14"/>
    </row>
    <row r="5" spans="1:9" ht="15.75" customHeight="1">
      <c r="A5" s="10" t="s">
        <v>0</v>
      </c>
      <c r="B5" s="11"/>
      <c r="C5" s="15"/>
      <c r="D5" s="16"/>
      <c r="E5" s="16"/>
      <c r="F5" s="16"/>
      <c r="G5" s="15"/>
      <c r="H5" s="15"/>
      <c r="I5" s="15"/>
    </row>
    <row r="6" spans="1:9" ht="12.75" customHeight="1">
      <c r="A6" s="17" t="s">
        <v>1</v>
      </c>
      <c r="B6" s="11"/>
      <c r="C6" s="15"/>
      <c r="D6" s="16"/>
      <c r="E6" s="16"/>
      <c r="F6" s="16"/>
      <c r="G6" s="15"/>
      <c r="H6" s="15"/>
      <c r="I6" s="15"/>
    </row>
    <row r="7" spans="1:9" ht="12" customHeight="1" thickBot="1">
      <c r="A7" s="17"/>
      <c r="B7" s="11"/>
      <c r="C7" s="15"/>
      <c r="D7" s="16"/>
      <c r="E7" s="16"/>
      <c r="F7" s="16"/>
      <c r="G7" s="15"/>
      <c r="H7" s="15"/>
      <c r="I7" s="15"/>
    </row>
    <row r="8" spans="1:9" ht="13.5" customHeight="1">
      <c r="A8" s="18"/>
      <c r="B8" s="19"/>
      <c r="C8" s="20" t="s">
        <v>2</v>
      </c>
      <c r="D8" s="21"/>
      <c r="E8" s="21"/>
      <c r="F8" s="21"/>
      <c r="G8" s="21"/>
      <c r="H8" s="22" t="s">
        <v>61</v>
      </c>
      <c r="I8" s="23"/>
    </row>
    <row r="9" spans="1:9" ht="13.5" customHeight="1">
      <c r="A9" s="24"/>
      <c r="B9" s="25" t="s">
        <v>3</v>
      </c>
      <c r="C9" s="26" t="s">
        <v>4</v>
      </c>
      <c r="D9" s="27" t="s">
        <v>5</v>
      </c>
      <c r="E9" s="26" t="s">
        <v>6</v>
      </c>
      <c r="F9" s="27" t="s">
        <v>7</v>
      </c>
      <c r="G9" s="26" t="s">
        <v>8</v>
      </c>
      <c r="H9" s="28" t="s">
        <v>62</v>
      </c>
      <c r="I9" s="29" t="s">
        <v>9</v>
      </c>
    </row>
    <row r="10" spans="1:9" ht="13.5" customHeight="1">
      <c r="A10" s="24"/>
      <c r="B10" s="4"/>
      <c r="C10" s="30" t="s">
        <v>10</v>
      </c>
      <c r="D10" s="30" t="s">
        <v>11</v>
      </c>
      <c r="E10" s="30" t="s">
        <v>12</v>
      </c>
      <c r="F10" s="70" t="s">
        <v>93</v>
      </c>
      <c r="G10" s="31"/>
      <c r="H10" s="28" t="s">
        <v>13</v>
      </c>
      <c r="I10" s="32"/>
    </row>
    <row r="11" spans="1:9" ht="11.25" customHeight="1">
      <c r="A11" s="33"/>
      <c r="B11" s="5"/>
      <c r="C11" s="34"/>
      <c r="D11" s="34"/>
      <c r="E11" s="34"/>
      <c r="F11" s="34"/>
      <c r="G11" s="34"/>
      <c r="H11" s="34"/>
      <c r="I11" s="35"/>
    </row>
    <row r="12" spans="1:9" ht="11.25" customHeight="1">
      <c r="A12" s="36" t="s">
        <v>14</v>
      </c>
      <c r="B12" s="37" t="s">
        <v>15</v>
      </c>
      <c r="C12" s="54">
        <v>5547587.1999999993</v>
      </c>
      <c r="D12" s="54">
        <v>501748.20000000007</v>
      </c>
      <c r="E12" s="54">
        <v>288177.90000000002</v>
      </c>
      <c r="F12" s="54">
        <v>6857091.9999999991</v>
      </c>
      <c r="G12" s="54">
        <v>13194605.299999999</v>
      </c>
      <c r="H12" s="54">
        <v>1806843.9000000001</v>
      </c>
      <c r="I12" s="55">
        <v>15001449.199999999</v>
      </c>
    </row>
    <row r="13" spans="1:9">
      <c r="A13" s="24"/>
      <c r="B13" s="6" t="s">
        <v>80</v>
      </c>
      <c r="C13" s="56">
        <v>5366248.5</v>
      </c>
      <c r="D13" s="56">
        <v>372746.4</v>
      </c>
      <c r="E13" s="56">
        <v>146994.29999999999</v>
      </c>
      <c r="F13" s="56">
        <v>2443173.2000000002</v>
      </c>
      <c r="G13" s="57">
        <v>8329162.4000000004</v>
      </c>
      <c r="H13" s="56">
        <v>503562.1</v>
      </c>
      <c r="I13" s="58">
        <v>8832724.5</v>
      </c>
    </row>
    <row r="14" spans="1:9">
      <c r="A14" s="24"/>
      <c r="B14" s="6" t="s">
        <v>72</v>
      </c>
      <c r="C14" s="56">
        <v>0</v>
      </c>
      <c r="D14" s="56">
        <v>504.9</v>
      </c>
      <c r="E14" s="56">
        <v>7982.5</v>
      </c>
      <c r="F14" s="56">
        <v>4332106.6999999993</v>
      </c>
      <c r="G14" s="57">
        <v>4340594.0999999996</v>
      </c>
      <c r="H14" s="56">
        <v>648464.9</v>
      </c>
      <c r="I14" s="58">
        <v>4989059</v>
      </c>
    </row>
    <row r="15" spans="1:9">
      <c r="A15" s="24"/>
      <c r="B15" s="6" t="s">
        <v>81</v>
      </c>
      <c r="C15" s="56">
        <v>21318.299999999996</v>
      </c>
      <c r="D15" s="56">
        <v>111922.8</v>
      </c>
      <c r="E15" s="56">
        <v>121531.19999999998</v>
      </c>
      <c r="F15" s="56">
        <v>7793.3</v>
      </c>
      <c r="G15" s="57">
        <v>262565.59999999998</v>
      </c>
      <c r="H15" s="56">
        <v>223983.19999999998</v>
      </c>
      <c r="I15" s="58">
        <v>486548.79999999993</v>
      </c>
    </row>
    <row r="16" spans="1:9">
      <c r="A16" s="24"/>
      <c r="B16" s="6" t="s">
        <v>16</v>
      </c>
      <c r="C16" s="56">
        <v>11</v>
      </c>
      <c r="D16" s="56">
        <v>15254.4</v>
      </c>
      <c r="E16" s="56">
        <v>11600.4</v>
      </c>
      <c r="F16" s="56">
        <v>0</v>
      </c>
      <c r="G16" s="57">
        <v>26865.8</v>
      </c>
      <c r="H16" s="56">
        <v>0</v>
      </c>
      <c r="I16" s="58">
        <v>26865.8</v>
      </c>
    </row>
    <row r="17" spans="1:9">
      <c r="A17" s="24"/>
      <c r="B17" s="6" t="s">
        <v>17</v>
      </c>
      <c r="C17" s="56">
        <v>0</v>
      </c>
      <c r="D17" s="56">
        <v>0</v>
      </c>
      <c r="E17" s="56">
        <v>0</v>
      </c>
      <c r="F17" s="56">
        <v>0</v>
      </c>
      <c r="G17" s="57">
        <v>0</v>
      </c>
      <c r="H17" s="56">
        <v>0</v>
      </c>
      <c r="I17" s="58">
        <v>0</v>
      </c>
    </row>
    <row r="18" spans="1:9">
      <c r="A18" s="24"/>
      <c r="B18" s="6" t="s">
        <v>74</v>
      </c>
      <c r="C18" s="56">
        <v>153478.29999999999</v>
      </c>
      <c r="D18" s="56">
        <v>1319.7</v>
      </c>
      <c r="E18" s="56">
        <v>60.700000000000017</v>
      </c>
      <c r="F18" s="56">
        <v>74018.8</v>
      </c>
      <c r="G18" s="57">
        <v>228877.5</v>
      </c>
      <c r="H18" s="56">
        <v>222242.30000000002</v>
      </c>
      <c r="I18" s="58">
        <v>451119.80000000005</v>
      </c>
    </row>
    <row r="19" spans="1:9">
      <c r="A19" s="24"/>
      <c r="B19" s="6" t="s">
        <v>18</v>
      </c>
      <c r="C19" s="56">
        <v>6531.1</v>
      </c>
      <c r="D19" s="56">
        <v>0</v>
      </c>
      <c r="E19" s="56">
        <v>8.8000000000000007</v>
      </c>
      <c r="F19" s="56">
        <v>0</v>
      </c>
      <c r="G19" s="57">
        <v>6539.9000000000005</v>
      </c>
      <c r="H19" s="56">
        <v>1066</v>
      </c>
      <c r="I19" s="58">
        <v>7605.9000000000005</v>
      </c>
    </row>
    <row r="20" spans="1:9">
      <c r="A20" s="24"/>
      <c r="B20" s="6" t="s">
        <v>19</v>
      </c>
      <c r="C20" s="56">
        <v>0</v>
      </c>
      <c r="D20" s="56">
        <v>0</v>
      </c>
      <c r="E20" s="56">
        <v>0</v>
      </c>
      <c r="F20" s="56">
        <v>0</v>
      </c>
      <c r="G20" s="57">
        <v>0</v>
      </c>
      <c r="H20" s="56">
        <v>22442.100000000002</v>
      </c>
      <c r="I20" s="58">
        <v>22442.100000000002</v>
      </c>
    </row>
    <row r="21" spans="1:9">
      <c r="A21" s="24"/>
      <c r="B21" s="6" t="s">
        <v>96</v>
      </c>
      <c r="C21" s="56">
        <v>0</v>
      </c>
      <c r="D21" s="56">
        <v>0</v>
      </c>
      <c r="E21" s="56">
        <v>0</v>
      </c>
      <c r="F21" s="56">
        <v>0</v>
      </c>
      <c r="G21" s="57">
        <v>0</v>
      </c>
      <c r="H21" s="56">
        <v>185083.3</v>
      </c>
      <c r="I21" s="58">
        <v>185083.3</v>
      </c>
    </row>
    <row r="22" spans="1:9" ht="4.5" customHeight="1">
      <c r="A22" s="24"/>
      <c r="B22" s="6"/>
      <c r="C22" s="57"/>
      <c r="D22" s="57"/>
      <c r="E22" s="1"/>
      <c r="F22" s="57"/>
      <c r="G22" s="57"/>
      <c r="H22" s="57"/>
      <c r="I22" s="58"/>
    </row>
    <row r="23" spans="1:9" ht="11.25" customHeight="1">
      <c r="A23" s="36" t="s">
        <v>20</v>
      </c>
      <c r="B23" s="37" t="s">
        <v>21</v>
      </c>
      <c r="C23" s="54">
        <v>4371685.6000000006</v>
      </c>
      <c r="D23" s="54">
        <v>697766</v>
      </c>
      <c r="E23" s="54">
        <v>297438.5</v>
      </c>
      <c r="F23" s="54">
        <v>6863843.0999999996</v>
      </c>
      <c r="G23" s="54">
        <v>12230733.199999999</v>
      </c>
      <c r="H23" s="54">
        <v>1756929.7999999998</v>
      </c>
      <c r="I23" s="55">
        <v>13987663</v>
      </c>
    </row>
    <row r="24" spans="1:9">
      <c r="A24" s="24"/>
      <c r="B24" s="6" t="s">
        <v>22</v>
      </c>
      <c r="C24" s="57">
        <v>1041642.2</v>
      </c>
      <c r="D24" s="57">
        <v>223773.6</v>
      </c>
      <c r="E24" s="57">
        <v>284917.5</v>
      </c>
      <c r="F24" s="57">
        <v>73964.5</v>
      </c>
      <c r="G24" s="57">
        <v>1624297.8</v>
      </c>
      <c r="H24" s="57">
        <v>428905.49999999994</v>
      </c>
      <c r="I24" s="58">
        <v>2053203.3</v>
      </c>
    </row>
    <row r="25" spans="1:9">
      <c r="A25" s="24"/>
      <c r="B25" s="6" t="s">
        <v>23</v>
      </c>
      <c r="C25" s="56">
        <v>885510.2</v>
      </c>
      <c r="D25" s="56">
        <v>177774</v>
      </c>
      <c r="E25" s="56">
        <v>222059.2</v>
      </c>
      <c r="F25" s="56">
        <v>60507.3</v>
      </c>
      <c r="G25" s="57">
        <v>1345850.7</v>
      </c>
      <c r="H25" s="56">
        <v>257307.3</v>
      </c>
      <c r="I25" s="58">
        <v>1603158</v>
      </c>
    </row>
    <row r="26" spans="1:9">
      <c r="A26" s="24"/>
      <c r="B26" s="6" t="s">
        <v>24</v>
      </c>
      <c r="C26" s="56">
        <v>156129.60000000001</v>
      </c>
      <c r="D26" s="56">
        <v>45999.6</v>
      </c>
      <c r="E26" s="56">
        <v>62858.3</v>
      </c>
      <c r="F26" s="56">
        <v>13457.199999999999</v>
      </c>
      <c r="G26" s="57">
        <v>278444.7</v>
      </c>
      <c r="H26" s="56">
        <v>171104.4</v>
      </c>
      <c r="I26" s="58">
        <v>449549.1</v>
      </c>
    </row>
    <row r="27" spans="1:9">
      <c r="A27" s="24"/>
      <c r="B27" s="6" t="s">
        <v>25</v>
      </c>
      <c r="C27" s="56">
        <v>2.4</v>
      </c>
      <c r="D27" s="56">
        <v>0</v>
      </c>
      <c r="E27" s="56">
        <v>0</v>
      </c>
      <c r="F27" s="56">
        <v>0</v>
      </c>
      <c r="G27" s="57">
        <v>2.4</v>
      </c>
      <c r="H27" s="56">
        <v>493.8</v>
      </c>
      <c r="I27" s="58">
        <v>496.2</v>
      </c>
    </row>
    <row r="28" spans="1:9">
      <c r="A28" s="24"/>
      <c r="B28" s="6" t="s">
        <v>73</v>
      </c>
      <c r="C28" s="57">
        <v>1354315.5</v>
      </c>
      <c r="D28" s="57">
        <v>17.3</v>
      </c>
      <c r="E28" s="57">
        <v>278.2</v>
      </c>
      <c r="F28" s="57">
        <v>0</v>
      </c>
      <c r="G28" s="57">
        <v>1354611</v>
      </c>
      <c r="H28" s="57">
        <v>480.6</v>
      </c>
      <c r="I28" s="58">
        <v>1355091.6</v>
      </c>
    </row>
    <row r="29" spans="1:9">
      <c r="A29" s="24"/>
      <c r="B29" s="6" t="s">
        <v>75</v>
      </c>
      <c r="C29" s="56">
        <v>1354315.5</v>
      </c>
      <c r="D29" s="56">
        <v>0</v>
      </c>
      <c r="E29" s="56">
        <v>15.3</v>
      </c>
      <c r="F29" s="56">
        <v>0</v>
      </c>
      <c r="G29" s="57">
        <v>1354330.8</v>
      </c>
      <c r="H29" s="56">
        <v>462.40000000000003</v>
      </c>
      <c r="I29" s="58">
        <v>1354793.2</v>
      </c>
    </row>
    <row r="30" spans="1:9">
      <c r="A30" s="24"/>
      <c r="B30" s="6" t="s">
        <v>26</v>
      </c>
      <c r="C30" s="57">
        <v>0</v>
      </c>
      <c r="D30" s="56">
        <v>17.3</v>
      </c>
      <c r="E30" s="56">
        <v>262.89999999999998</v>
      </c>
      <c r="F30" s="56">
        <v>0</v>
      </c>
      <c r="G30" s="57">
        <v>280.2</v>
      </c>
      <c r="H30" s="56">
        <v>18.2</v>
      </c>
      <c r="I30" s="58">
        <v>298.39999999999998</v>
      </c>
    </row>
    <row r="31" spans="1:9">
      <c r="A31" s="24"/>
      <c r="B31" s="38" t="s">
        <v>27</v>
      </c>
      <c r="C31" s="56">
        <v>0</v>
      </c>
      <c r="D31" s="56">
        <v>335880.7</v>
      </c>
      <c r="E31" s="56">
        <v>0</v>
      </c>
      <c r="F31" s="56">
        <v>5510738.5</v>
      </c>
      <c r="G31" s="57">
        <v>5846619.2000000002</v>
      </c>
      <c r="H31" s="56">
        <v>0</v>
      </c>
      <c r="I31" s="58">
        <v>5846619.2000000002</v>
      </c>
    </row>
    <row r="32" spans="1:9">
      <c r="A32" s="24"/>
      <c r="B32" s="6" t="s">
        <v>28</v>
      </c>
      <c r="C32" s="56">
        <v>260</v>
      </c>
      <c r="D32" s="56">
        <v>33528.300000000003</v>
      </c>
      <c r="E32" s="56">
        <v>1965</v>
      </c>
      <c r="F32" s="56">
        <v>0</v>
      </c>
      <c r="G32" s="57">
        <v>35753.300000000003</v>
      </c>
      <c r="H32" s="56">
        <v>4758.5</v>
      </c>
      <c r="I32" s="58">
        <v>40511.800000000003</v>
      </c>
    </row>
    <row r="33" spans="1:9">
      <c r="A33" s="24"/>
      <c r="B33" s="6" t="s">
        <v>18</v>
      </c>
      <c r="C33" s="57">
        <v>1975467.9000000001</v>
      </c>
      <c r="D33" s="57">
        <v>104566.09999999999</v>
      </c>
      <c r="E33" s="57">
        <v>10277.799999999999</v>
      </c>
      <c r="F33" s="57">
        <v>1279140.1000000001</v>
      </c>
      <c r="G33" s="57">
        <v>3369451.9000000004</v>
      </c>
      <c r="H33" s="57">
        <v>1098497.8999999999</v>
      </c>
      <c r="I33" s="58">
        <v>4467949.8000000007</v>
      </c>
    </row>
    <row r="34" spans="1:9">
      <c r="A34" s="24"/>
      <c r="B34" s="38" t="s">
        <v>29</v>
      </c>
      <c r="C34" s="56">
        <v>1238599.1000000001</v>
      </c>
      <c r="D34" s="56">
        <v>102619.79999999999</v>
      </c>
      <c r="E34" s="56">
        <v>7180</v>
      </c>
      <c r="F34" s="56">
        <v>1264140.1000000001</v>
      </c>
      <c r="G34" s="57">
        <v>2612539</v>
      </c>
      <c r="H34" s="56">
        <v>1047301.1000000001</v>
      </c>
      <c r="I34" s="58">
        <v>3659840.1</v>
      </c>
    </row>
    <row r="35" spans="1:9">
      <c r="A35" s="24"/>
      <c r="B35" s="6" t="s">
        <v>30</v>
      </c>
      <c r="C35" s="57">
        <v>736868.8</v>
      </c>
      <c r="D35" s="57">
        <v>430.5</v>
      </c>
      <c r="E35" s="57">
        <v>3033.9</v>
      </c>
      <c r="F35" s="57">
        <v>15000</v>
      </c>
      <c r="G35" s="57">
        <v>755333.20000000007</v>
      </c>
      <c r="H35" s="57">
        <v>50942.9</v>
      </c>
      <c r="I35" s="58">
        <v>806276.10000000009</v>
      </c>
    </row>
    <row r="36" spans="1:9">
      <c r="A36" s="24"/>
      <c r="B36" s="6" t="s">
        <v>65</v>
      </c>
      <c r="C36" s="56">
        <v>149968</v>
      </c>
      <c r="D36" s="56">
        <v>63.3</v>
      </c>
      <c r="E36" s="56">
        <v>3028.6</v>
      </c>
      <c r="F36" s="56">
        <v>15000</v>
      </c>
      <c r="G36" s="57">
        <v>168059.9</v>
      </c>
      <c r="H36" s="56">
        <v>50466.5</v>
      </c>
      <c r="I36" s="58">
        <v>218526.4</v>
      </c>
    </row>
    <row r="37" spans="1:9">
      <c r="A37" s="24"/>
      <c r="B37" s="38" t="s">
        <v>31</v>
      </c>
      <c r="C37" s="56">
        <v>499665</v>
      </c>
      <c r="D37" s="56">
        <v>0</v>
      </c>
      <c r="E37" s="56">
        <v>5.3</v>
      </c>
      <c r="F37" s="56">
        <v>0</v>
      </c>
      <c r="G37" s="57">
        <v>499670.3</v>
      </c>
      <c r="H37" s="56">
        <v>0</v>
      </c>
      <c r="I37" s="58">
        <v>499670.3</v>
      </c>
    </row>
    <row r="38" spans="1:9">
      <c r="A38" s="24"/>
      <c r="B38" s="6" t="s">
        <v>32</v>
      </c>
      <c r="C38" s="56">
        <v>87235.8</v>
      </c>
      <c r="D38" s="56">
        <v>367.2</v>
      </c>
      <c r="E38" s="56">
        <v>0</v>
      </c>
      <c r="F38" s="56">
        <v>0</v>
      </c>
      <c r="G38" s="57">
        <v>87603</v>
      </c>
      <c r="H38" s="56">
        <v>476.4</v>
      </c>
      <c r="I38" s="58">
        <v>88079.4</v>
      </c>
    </row>
    <row r="39" spans="1:9">
      <c r="A39" s="24"/>
      <c r="B39" s="6" t="s">
        <v>33</v>
      </c>
      <c r="C39" s="56">
        <v>0</v>
      </c>
      <c r="D39" s="56">
        <v>1515.8</v>
      </c>
      <c r="E39" s="56">
        <v>63.9</v>
      </c>
      <c r="F39" s="56">
        <v>0</v>
      </c>
      <c r="G39" s="57">
        <v>1579.7</v>
      </c>
      <c r="H39" s="56">
        <v>253.9</v>
      </c>
      <c r="I39" s="58">
        <v>1833.6000000000001</v>
      </c>
    </row>
    <row r="40" spans="1:9">
      <c r="A40" s="24"/>
      <c r="B40" s="6" t="s">
        <v>34</v>
      </c>
      <c r="C40" s="56">
        <v>0</v>
      </c>
      <c r="D40" s="56">
        <v>0</v>
      </c>
      <c r="E40" s="56">
        <v>0</v>
      </c>
      <c r="F40" s="56">
        <v>0</v>
      </c>
      <c r="G40" s="57">
        <v>0</v>
      </c>
      <c r="H40" s="56">
        <v>0</v>
      </c>
      <c r="I40" s="58">
        <v>0</v>
      </c>
    </row>
    <row r="41" spans="1:9">
      <c r="A41" s="24"/>
      <c r="B41" s="6" t="s">
        <v>97</v>
      </c>
      <c r="C41" s="56">
        <v>0</v>
      </c>
      <c r="D41" s="56">
        <v>0</v>
      </c>
      <c r="E41" s="56">
        <v>0</v>
      </c>
      <c r="F41" s="56">
        <v>0</v>
      </c>
      <c r="G41" s="57">
        <v>0</v>
      </c>
      <c r="H41" s="56">
        <v>224287.3</v>
      </c>
      <c r="I41" s="58">
        <v>224287.3</v>
      </c>
    </row>
    <row r="42" spans="1:9" ht="5.25" customHeight="1">
      <c r="A42" s="24"/>
      <c r="B42" s="6"/>
      <c r="C42" s="57"/>
      <c r="D42" s="57"/>
      <c r="E42" s="57"/>
      <c r="F42" s="57"/>
      <c r="G42" s="57"/>
      <c r="H42" s="57"/>
      <c r="I42" s="58"/>
    </row>
    <row r="43" spans="1:9" ht="11.25" customHeight="1">
      <c r="A43" s="36" t="s">
        <v>35</v>
      </c>
      <c r="B43" s="37" t="s">
        <v>36</v>
      </c>
      <c r="C43" s="54">
        <v>1175901.5999999987</v>
      </c>
      <c r="D43" s="54">
        <v>-196017.79999999993</v>
      </c>
      <c r="E43" s="54">
        <v>-9260.5999999999767</v>
      </c>
      <c r="F43" s="54">
        <v>-6751.1000000005588</v>
      </c>
      <c r="G43" s="54">
        <v>963872.09999999823</v>
      </c>
      <c r="H43" s="54">
        <v>49914.100000000326</v>
      </c>
      <c r="I43" s="55">
        <v>1013786.1999999986</v>
      </c>
    </row>
    <row r="44" spans="1:9" ht="6" customHeight="1">
      <c r="A44" s="24"/>
      <c r="B44" s="6"/>
      <c r="C44" s="57"/>
      <c r="D44" s="57"/>
      <c r="E44" s="57"/>
      <c r="F44" s="57"/>
      <c r="G44" s="54"/>
      <c r="H44" s="57"/>
      <c r="I44" s="58"/>
    </row>
    <row r="45" spans="1:9" ht="11.25" customHeight="1">
      <c r="A45" s="36" t="s">
        <v>37</v>
      </c>
      <c r="B45" s="37" t="s">
        <v>89</v>
      </c>
      <c r="C45" s="54">
        <v>20906.3</v>
      </c>
      <c r="D45" s="54">
        <v>0</v>
      </c>
      <c r="E45" s="54">
        <v>125.40000000000146</v>
      </c>
      <c r="F45" s="59">
        <v>0</v>
      </c>
      <c r="G45" s="54">
        <v>21031.7</v>
      </c>
      <c r="H45" s="54">
        <v>4676.5</v>
      </c>
      <c r="I45" s="55">
        <v>25708.2</v>
      </c>
    </row>
    <row r="46" spans="1:9" ht="6" customHeight="1">
      <c r="A46" s="24"/>
      <c r="B46" s="6"/>
      <c r="C46" s="56"/>
      <c r="D46" s="56"/>
      <c r="E46" s="56"/>
      <c r="F46" s="56"/>
      <c r="G46" s="57"/>
      <c r="H46" s="56"/>
      <c r="I46" s="58"/>
    </row>
    <row r="47" spans="1:9" ht="11.25" customHeight="1">
      <c r="A47" s="36" t="s">
        <v>38</v>
      </c>
      <c r="B47" s="37" t="s">
        <v>39</v>
      </c>
      <c r="C47" s="54">
        <v>24776.900000000009</v>
      </c>
      <c r="D47" s="54">
        <v>10414.999999999998</v>
      </c>
      <c r="E47" s="54">
        <v>75891.199999999997</v>
      </c>
      <c r="F47" s="54">
        <v>0</v>
      </c>
      <c r="G47" s="54">
        <v>111083.1</v>
      </c>
      <c r="H47" s="54">
        <v>292882.7</v>
      </c>
      <c r="I47" s="55">
        <v>403965.80000000005</v>
      </c>
    </row>
    <row r="48" spans="1:9">
      <c r="A48" s="24"/>
      <c r="B48" s="6" t="s">
        <v>40</v>
      </c>
      <c r="C48" s="56">
        <v>13068.8</v>
      </c>
      <c r="D48" s="56">
        <v>7917.5</v>
      </c>
      <c r="E48" s="56">
        <v>75251.899999999994</v>
      </c>
      <c r="F48" s="56">
        <v>0</v>
      </c>
      <c r="G48" s="57">
        <v>96238.2</v>
      </c>
      <c r="H48" s="56">
        <v>201355.80000000002</v>
      </c>
      <c r="I48" s="58">
        <v>297594</v>
      </c>
    </row>
    <row r="49" spans="1:9">
      <c r="A49" s="24"/>
      <c r="B49" s="6" t="s">
        <v>41</v>
      </c>
      <c r="C49" s="57">
        <v>11708.100000000009</v>
      </c>
      <c r="D49" s="57">
        <v>2497.4999999999977</v>
      </c>
      <c r="E49" s="57">
        <v>240</v>
      </c>
      <c r="F49" s="57">
        <v>0</v>
      </c>
      <c r="G49" s="57">
        <v>14445.600000000008</v>
      </c>
      <c r="H49" s="57">
        <v>91526.9</v>
      </c>
      <c r="I49" s="58">
        <v>105972.5</v>
      </c>
    </row>
    <row r="50" spans="1:9">
      <c r="A50" s="24"/>
      <c r="B50" s="6" t="s">
        <v>66</v>
      </c>
      <c r="C50" s="56">
        <v>11104.2</v>
      </c>
      <c r="D50" s="56">
        <v>1790.1</v>
      </c>
      <c r="E50" s="56">
        <v>0</v>
      </c>
      <c r="F50" s="56">
        <v>0</v>
      </c>
      <c r="G50" s="57">
        <v>12894.300000000001</v>
      </c>
      <c r="H50" s="56">
        <v>26716.6</v>
      </c>
      <c r="I50" s="58">
        <v>39610.9</v>
      </c>
    </row>
    <row r="51" spans="1:9">
      <c r="A51" s="24"/>
      <c r="B51" s="6" t="s">
        <v>42</v>
      </c>
      <c r="C51" s="56">
        <v>603.90000000000873</v>
      </c>
      <c r="D51" s="56">
        <v>707.39999999999782</v>
      </c>
      <c r="E51" s="56">
        <v>240</v>
      </c>
      <c r="F51" s="56">
        <v>0</v>
      </c>
      <c r="G51" s="57">
        <v>1551.3000000000065</v>
      </c>
      <c r="H51" s="56">
        <v>64810.3</v>
      </c>
      <c r="I51" s="58">
        <v>66361.600000000006</v>
      </c>
    </row>
    <row r="52" spans="1:9">
      <c r="A52" s="24"/>
      <c r="B52" s="6" t="s">
        <v>43</v>
      </c>
      <c r="C52" s="57">
        <v>0</v>
      </c>
      <c r="D52" s="57">
        <v>0</v>
      </c>
      <c r="E52" s="57">
        <v>399.3</v>
      </c>
      <c r="F52" s="57">
        <v>0</v>
      </c>
      <c r="G52" s="57">
        <v>399.3</v>
      </c>
      <c r="H52" s="57">
        <v>0</v>
      </c>
      <c r="I52" s="58">
        <v>399.3</v>
      </c>
    </row>
    <row r="53" spans="1:9">
      <c r="A53" s="24"/>
      <c r="B53" s="6" t="s">
        <v>66</v>
      </c>
      <c r="C53" s="56">
        <v>0</v>
      </c>
      <c r="D53" s="56">
        <v>0</v>
      </c>
      <c r="E53" s="56">
        <v>0</v>
      </c>
      <c r="F53" s="56">
        <v>0</v>
      </c>
      <c r="G53" s="57">
        <v>0</v>
      </c>
      <c r="H53" s="56">
        <v>0</v>
      </c>
      <c r="I53" s="58">
        <v>0</v>
      </c>
    </row>
    <row r="54" spans="1:9">
      <c r="A54" s="24"/>
      <c r="B54" s="6" t="s">
        <v>44</v>
      </c>
      <c r="C54" s="56">
        <v>0</v>
      </c>
      <c r="D54" s="56">
        <v>0</v>
      </c>
      <c r="E54" s="56">
        <v>399.3</v>
      </c>
      <c r="F54" s="56">
        <v>0</v>
      </c>
      <c r="G54" s="57">
        <v>399.3</v>
      </c>
      <c r="H54" s="56">
        <v>0</v>
      </c>
      <c r="I54" s="58">
        <v>399.3</v>
      </c>
    </row>
    <row r="55" spans="1:9" ht="7.5" customHeight="1">
      <c r="A55" s="24"/>
      <c r="B55" s="6"/>
      <c r="C55" s="57"/>
      <c r="D55" s="57"/>
      <c r="E55" s="57"/>
      <c r="F55" s="57"/>
      <c r="G55" s="57"/>
      <c r="H55" s="57"/>
      <c r="I55" s="58"/>
    </row>
    <row r="56" spans="1:9" ht="11.25" customHeight="1">
      <c r="A56" s="36" t="s">
        <v>45</v>
      </c>
      <c r="B56" s="37" t="s">
        <v>67</v>
      </c>
      <c r="C56" s="54">
        <v>5568493.4999999991</v>
      </c>
      <c r="D56" s="54">
        <v>501748.20000000007</v>
      </c>
      <c r="E56" s="54">
        <v>288303.30000000005</v>
      </c>
      <c r="F56" s="54">
        <v>6857091.9999999991</v>
      </c>
      <c r="G56" s="54">
        <v>13215636.999999998</v>
      </c>
      <c r="H56" s="54">
        <v>1811520.4000000001</v>
      </c>
      <c r="I56" s="55">
        <v>15027157.399999999</v>
      </c>
    </row>
    <row r="57" spans="1:9" ht="11.25" customHeight="1">
      <c r="A57" s="36" t="s">
        <v>46</v>
      </c>
      <c r="B57" s="37" t="s">
        <v>68</v>
      </c>
      <c r="C57" s="54">
        <v>4396462.5000000009</v>
      </c>
      <c r="D57" s="54">
        <v>708181</v>
      </c>
      <c r="E57" s="54">
        <v>373329.7</v>
      </c>
      <c r="F57" s="54">
        <v>6863843.0999999996</v>
      </c>
      <c r="G57" s="54">
        <v>12341816.300000001</v>
      </c>
      <c r="H57" s="54">
        <v>2049812.4999999998</v>
      </c>
      <c r="I57" s="55">
        <v>14391628.800000001</v>
      </c>
    </row>
    <row r="58" spans="1:9" ht="11.25" customHeight="1">
      <c r="A58" s="36" t="s">
        <v>47</v>
      </c>
      <c r="B58" s="37" t="s">
        <v>69</v>
      </c>
      <c r="C58" s="54">
        <v>1172030.9999999981</v>
      </c>
      <c r="D58" s="54">
        <v>-206432.79999999993</v>
      </c>
      <c r="E58" s="54">
        <v>-85026.399999999965</v>
      </c>
      <c r="F58" s="54">
        <v>-6751.1000000005588</v>
      </c>
      <c r="G58" s="54">
        <v>873820.69999999763</v>
      </c>
      <c r="H58" s="54">
        <v>-238292.09999999963</v>
      </c>
      <c r="I58" s="55">
        <v>635528.599999998</v>
      </c>
    </row>
    <row r="59" spans="1:9" ht="5.25" customHeight="1">
      <c r="A59" s="36"/>
      <c r="B59" s="37"/>
      <c r="C59" s="54"/>
      <c r="D59" s="54"/>
      <c r="E59" s="54"/>
      <c r="F59" s="54"/>
      <c r="G59" s="54"/>
      <c r="H59" s="54"/>
      <c r="I59" s="55"/>
    </row>
    <row r="60" spans="1:9" ht="11.25" customHeight="1">
      <c r="A60" s="36" t="s">
        <v>48</v>
      </c>
      <c r="B60" s="37" t="s">
        <v>49</v>
      </c>
      <c r="C60" s="54">
        <v>0</v>
      </c>
      <c r="D60" s="54">
        <v>429854.80000000005</v>
      </c>
      <c r="E60" s="54">
        <v>252239.40000000002</v>
      </c>
      <c r="F60" s="54">
        <v>409085.2</v>
      </c>
      <c r="G60" s="54">
        <v>1091179.4000000001</v>
      </c>
      <c r="H60" s="54">
        <v>733280.10000000009</v>
      </c>
      <c r="I60" s="55">
        <v>1824459.5000000002</v>
      </c>
    </row>
    <row r="61" spans="1:9">
      <c r="A61" s="24"/>
      <c r="B61" s="6" t="s">
        <v>50</v>
      </c>
      <c r="C61" s="56">
        <v>0</v>
      </c>
      <c r="D61" s="56">
        <v>0</v>
      </c>
      <c r="E61" s="56">
        <v>206217.40000000002</v>
      </c>
      <c r="F61" s="56">
        <v>400000</v>
      </c>
      <c r="G61" s="57">
        <v>606217.4</v>
      </c>
      <c r="H61" s="56">
        <v>482836.2</v>
      </c>
      <c r="I61" s="58">
        <v>1089053.6000000001</v>
      </c>
    </row>
    <row r="62" spans="1:9">
      <c r="A62" s="24"/>
      <c r="B62" s="6" t="s">
        <v>51</v>
      </c>
      <c r="C62" s="56">
        <v>0</v>
      </c>
      <c r="D62" s="56">
        <v>850.4</v>
      </c>
      <c r="E62" s="56">
        <v>1452.6</v>
      </c>
      <c r="F62" s="56">
        <v>0</v>
      </c>
      <c r="G62" s="57">
        <v>2303</v>
      </c>
      <c r="H62" s="56">
        <v>28530.9</v>
      </c>
      <c r="I62" s="58">
        <v>30833.9</v>
      </c>
    </row>
    <row r="63" spans="1:9">
      <c r="A63" s="24"/>
      <c r="B63" s="6" t="s">
        <v>52</v>
      </c>
      <c r="C63" s="56">
        <v>0</v>
      </c>
      <c r="D63" s="56">
        <v>0</v>
      </c>
      <c r="E63" s="56">
        <v>52.3</v>
      </c>
      <c r="F63" s="56">
        <v>0</v>
      </c>
      <c r="G63" s="57">
        <v>52.3</v>
      </c>
      <c r="H63" s="56">
        <v>0</v>
      </c>
      <c r="I63" s="58">
        <v>52.3</v>
      </c>
    </row>
    <row r="64" spans="1:9">
      <c r="A64" s="24"/>
      <c r="B64" s="6" t="s">
        <v>53</v>
      </c>
      <c r="C64" s="56">
        <v>0</v>
      </c>
      <c r="D64" s="56">
        <v>429004.4</v>
      </c>
      <c r="E64" s="56">
        <v>0</v>
      </c>
      <c r="F64" s="56">
        <v>9085.2000000000007</v>
      </c>
      <c r="G64" s="57">
        <v>438089.60000000003</v>
      </c>
      <c r="H64" s="56">
        <v>213564</v>
      </c>
      <c r="I64" s="58">
        <v>651653.60000000009</v>
      </c>
    </row>
    <row r="65" spans="1:9">
      <c r="A65" s="24"/>
      <c r="B65" s="6" t="s">
        <v>63</v>
      </c>
      <c r="C65" s="56">
        <v>0</v>
      </c>
      <c r="D65" s="56">
        <v>0</v>
      </c>
      <c r="E65" s="56">
        <v>44517.1</v>
      </c>
      <c r="F65" s="56">
        <v>0</v>
      </c>
      <c r="G65" s="57">
        <v>44517.1</v>
      </c>
      <c r="H65" s="56">
        <v>8349</v>
      </c>
      <c r="I65" s="58">
        <v>52866.1</v>
      </c>
    </row>
    <row r="66" spans="1:9">
      <c r="A66" s="36" t="s">
        <v>54</v>
      </c>
      <c r="B66" s="37" t="s">
        <v>55</v>
      </c>
      <c r="C66" s="54">
        <v>1089053.6000000001</v>
      </c>
      <c r="D66" s="54">
        <v>30833.9</v>
      </c>
      <c r="E66" s="54">
        <v>52.3</v>
      </c>
      <c r="F66" s="54">
        <v>651653.60000000009</v>
      </c>
      <c r="G66" s="54">
        <v>1771593.4000000001</v>
      </c>
      <c r="H66" s="54">
        <v>52866.1</v>
      </c>
      <c r="I66" s="55">
        <v>1824459.5000000002</v>
      </c>
    </row>
    <row r="67" spans="1:9" ht="11.25" customHeight="1">
      <c r="A67" s="36"/>
      <c r="B67" s="37"/>
      <c r="C67" s="54"/>
      <c r="D67" s="54"/>
      <c r="E67" s="54"/>
      <c r="F67" s="60"/>
      <c r="G67" s="54"/>
      <c r="H67" s="54"/>
      <c r="I67" s="55"/>
    </row>
    <row r="68" spans="1:9" ht="12" customHeight="1">
      <c r="A68" s="36" t="s">
        <v>56</v>
      </c>
      <c r="B68" s="37" t="s">
        <v>64</v>
      </c>
      <c r="C68" s="54">
        <v>5568493.4999999991</v>
      </c>
      <c r="D68" s="54">
        <v>931603.00000000012</v>
      </c>
      <c r="E68" s="54">
        <v>540542.70000000007</v>
      </c>
      <c r="F68" s="54">
        <v>7266177.1999999993</v>
      </c>
      <c r="G68" s="54">
        <v>14306816.399999999</v>
      </c>
      <c r="H68" s="54">
        <v>2544800.5</v>
      </c>
      <c r="I68" s="55">
        <v>16851616.899999999</v>
      </c>
    </row>
    <row r="69" spans="1:9" ht="12" customHeight="1">
      <c r="A69" s="36" t="s">
        <v>57</v>
      </c>
      <c r="B69" s="37" t="s">
        <v>70</v>
      </c>
      <c r="C69" s="54">
        <v>4131200.6000000015</v>
      </c>
      <c r="D69" s="54">
        <v>739014.9</v>
      </c>
      <c r="E69" s="54">
        <v>373366.7</v>
      </c>
      <c r="F69" s="54">
        <v>7515496.6999999993</v>
      </c>
      <c r="G69" s="54">
        <v>12759078.900000002</v>
      </c>
      <c r="H69" s="54">
        <v>2102216.1999999997</v>
      </c>
      <c r="I69" s="55">
        <v>14861295.100000001</v>
      </c>
    </row>
    <row r="70" spans="1:9" ht="15" customHeight="1" thickBot="1">
      <c r="A70" s="36" t="s">
        <v>58</v>
      </c>
      <c r="B70" s="37" t="s">
        <v>71</v>
      </c>
      <c r="C70" s="54">
        <v>5485516.1000000015</v>
      </c>
      <c r="D70" s="54">
        <v>739014.9</v>
      </c>
      <c r="E70" s="54">
        <v>373382</v>
      </c>
      <c r="F70" s="54">
        <v>7515496.6999999993</v>
      </c>
      <c r="G70" s="54">
        <v>14113409.700000001</v>
      </c>
      <c r="H70" s="54">
        <v>2102678.5999999996</v>
      </c>
      <c r="I70" s="55">
        <v>16216088.300000001</v>
      </c>
    </row>
    <row r="71" spans="1:9" ht="17.25" customHeight="1">
      <c r="A71" s="39" t="s">
        <v>59</v>
      </c>
      <c r="B71" s="69" t="s">
        <v>85</v>
      </c>
      <c r="C71" s="61">
        <v>1437292.8999999976</v>
      </c>
      <c r="D71" s="61">
        <v>192588.10000000009</v>
      </c>
      <c r="E71" s="61">
        <v>167176.00000000006</v>
      </c>
      <c r="F71" s="61">
        <v>-249319.5</v>
      </c>
      <c r="G71" s="61">
        <v>1547737.4999999977</v>
      </c>
      <c r="H71" s="61">
        <v>442584.30000000028</v>
      </c>
      <c r="I71" s="62">
        <v>1990321.799999998</v>
      </c>
    </row>
    <row r="72" spans="1:9" ht="17.25" customHeight="1" thickBot="1">
      <c r="A72" s="40" t="s">
        <v>60</v>
      </c>
      <c r="B72" s="41" t="s">
        <v>76</v>
      </c>
      <c r="C72" s="63">
        <v>82977.399999997579</v>
      </c>
      <c r="D72" s="63">
        <v>192588.10000000009</v>
      </c>
      <c r="E72" s="63">
        <v>167160.70000000007</v>
      </c>
      <c r="F72" s="63">
        <v>-249319.5</v>
      </c>
      <c r="G72" s="63">
        <v>193406.69999999774</v>
      </c>
      <c r="H72" s="63">
        <v>442121.90000000037</v>
      </c>
      <c r="I72" s="64">
        <v>635528.59999999811</v>
      </c>
    </row>
    <row r="73" spans="1:9" ht="4.5" customHeight="1">
      <c r="A73" s="42"/>
      <c r="C73" s="65"/>
      <c r="D73" s="65"/>
      <c r="E73" s="65"/>
      <c r="F73" s="65"/>
      <c r="G73" s="65"/>
      <c r="H73" s="65"/>
      <c r="I73" s="66"/>
    </row>
    <row r="74" spans="1:9" ht="13.5" customHeight="1">
      <c r="A74" s="43"/>
      <c r="B74" s="44" t="s">
        <v>77</v>
      </c>
      <c r="C74" s="56">
        <v>0</v>
      </c>
      <c r="D74" s="56">
        <v>0</v>
      </c>
      <c r="E74" s="56">
        <v>0</v>
      </c>
      <c r="F74" s="56">
        <v>0</v>
      </c>
      <c r="G74" s="57">
        <v>0</v>
      </c>
      <c r="H74" s="56">
        <v>0</v>
      </c>
      <c r="I74" s="58">
        <v>0</v>
      </c>
    </row>
    <row r="75" spans="1:9">
      <c r="A75" s="43"/>
      <c r="B75" s="44" t="s">
        <v>78</v>
      </c>
      <c r="C75" s="56">
        <v>0</v>
      </c>
      <c r="D75" s="56">
        <v>0</v>
      </c>
      <c r="E75" s="56">
        <v>90.1</v>
      </c>
      <c r="F75" s="56">
        <v>3361</v>
      </c>
      <c r="G75" s="57">
        <v>3451.1</v>
      </c>
      <c r="H75" s="56">
        <v>0</v>
      </c>
      <c r="I75" s="58">
        <v>3451.1</v>
      </c>
    </row>
    <row r="76" spans="1:9">
      <c r="A76" s="43"/>
      <c r="B76" s="44" t="s">
        <v>79</v>
      </c>
      <c r="C76" s="56">
        <v>3074.8000000000029</v>
      </c>
      <c r="D76" s="56">
        <v>0</v>
      </c>
      <c r="E76" s="56">
        <v>0</v>
      </c>
      <c r="F76" s="56">
        <v>0</v>
      </c>
      <c r="G76" s="57">
        <v>3074.8000000000029</v>
      </c>
      <c r="H76" s="56">
        <v>376.3</v>
      </c>
      <c r="I76" s="58">
        <v>3451.1000000000031</v>
      </c>
    </row>
    <row r="77" spans="1:9" ht="4.5" customHeight="1" thickBot="1">
      <c r="A77" s="45"/>
      <c r="B77" s="46"/>
      <c r="C77" s="47"/>
      <c r="D77" s="47"/>
      <c r="E77" s="47"/>
      <c r="F77" s="47"/>
      <c r="G77" s="47"/>
      <c r="H77" s="47"/>
      <c r="I77" s="48"/>
    </row>
    <row r="78" spans="1:9" ht="6" customHeight="1">
      <c r="A78" s="6"/>
      <c r="B78" s="49"/>
      <c r="C78" s="7"/>
      <c r="D78" s="7"/>
      <c r="E78" s="7"/>
      <c r="F78" s="7"/>
      <c r="G78" s="7"/>
      <c r="H78" s="7"/>
      <c r="I78" s="7"/>
    </row>
    <row r="79" spans="1:9" s="50" customFormat="1" ht="12" customHeight="1">
      <c r="A79" s="52" t="s">
        <v>82</v>
      </c>
      <c r="B79" s="52"/>
      <c r="C79" s="52"/>
      <c r="D79" s="52"/>
      <c r="E79" s="52"/>
      <c r="F79" s="52"/>
      <c r="G79" s="52"/>
      <c r="H79" s="52"/>
      <c r="I79" s="52"/>
    </row>
    <row r="80" spans="1:9" s="50" customFormat="1" ht="12" customHeight="1">
      <c r="A80" s="52"/>
      <c r="B80" s="91" t="s">
        <v>99</v>
      </c>
      <c r="C80" s="91"/>
      <c r="D80" s="91"/>
      <c r="E80" s="91"/>
      <c r="F80" s="91"/>
      <c r="G80" s="91"/>
      <c r="H80" s="91"/>
      <c r="I80" s="91"/>
    </row>
    <row r="81" spans="1:9" s="50" customFormat="1" ht="12" customHeight="1">
      <c r="A81" s="52"/>
      <c r="B81" s="95" t="s">
        <v>100</v>
      </c>
      <c r="C81" s="95"/>
      <c r="D81" s="95"/>
      <c r="E81" s="95"/>
      <c r="F81" s="95"/>
      <c r="G81" s="95"/>
      <c r="H81" s="95"/>
      <c r="I81" s="95"/>
    </row>
    <row r="82" spans="1:9" s="50" customFormat="1">
      <c r="A82" s="96" t="s">
        <v>101</v>
      </c>
      <c r="B82" s="52"/>
      <c r="C82" s="52"/>
      <c r="D82" s="52"/>
      <c r="E82" s="52"/>
      <c r="F82" s="52"/>
      <c r="G82" s="52"/>
      <c r="H82" s="52"/>
      <c r="I82" s="52"/>
    </row>
    <row r="83" spans="1:9" ht="13.5" customHeight="1">
      <c r="A83" s="92" t="s">
        <v>88</v>
      </c>
      <c r="B83" s="92"/>
      <c r="C83" s="92"/>
      <c r="D83" s="92"/>
      <c r="E83" s="92"/>
      <c r="F83" s="92"/>
      <c r="G83" s="92"/>
      <c r="H83" s="92"/>
      <c r="I83" s="92"/>
    </row>
    <row r="84" spans="1:9">
      <c r="A84" s="92" t="s">
        <v>94</v>
      </c>
      <c r="B84" s="92"/>
      <c r="C84" s="92"/>
      <c r="D84" s="92"/>
      <c r="E84" s="92"/>
      <c r="F84" s="92"/>
      <c r="G84" s="92"/>
      <c r="H84" s="92"/>
      <c r="I84" s="92"/>
    </row>
    <row r="86" spans="1:9">
      <c r="C86" s="98"/>
      <c r="D86" s="98"/>
      <c r="E86" s="98"/>
      <c r="F86" s="98"/>
      <c r="G86" s="98"/>
      <c r="H86" s="98"/>
      <c r="I86" s="98"/>
    </row>
    <row r="87" spans="1:9">
      <c r="C87" s="98"/>
      <c r="D87" s="98"/>
      <c r="E87" s="98"/>
      <c r="F87" s="98"/>
      <c r="G87" s="98"/>
      <c r="H87" s="98"/>
      <c r="I87" s="98"/>
    </row>
  </sheetData>
  <mergeCells count="4">
    <mergeCell ref="B80:I80"/>
    <mergeCell ref="A83:I83"/>
    <mergeCell ref="A84:I84"/>
    <mergeCell ref="B81:I81"/>
  </mergeCells>
  <phoneticPr fontId="15" type="noConversion"/>
  <printOptions horizontalCentered="1"/>
  <pageMargins left="0.19685039370078741" right="0.19685039370078741" top="0.98425196850393704" bottom="0.19685039370078741" header="0" footer="0"/>
  <pageSetup paperSize="9" scale="72" orientation="portrait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144B-6B23-446D-AB04-ABF66E496E17}">
  <dimension ref="A1:Q88"/>
  <sheetViews>
    <sheetView showGridLines="0" topLeftCell="A4" workbookViewId="0">
      <selection activeCell="M84" sqref="M84"/>
    </sheetView>
  </sheetViews>
  <sheetFormatPr baseColWidth="10" defaultRowHeight="12.75"/>
  <cols>
    <col min="1" max="1" width="5.7109375" customWidth="1"/>
    <col min="2" max="2" width="49" bestFit="1" customWidth="1"/>
    <col min="3" max="3" width="12.7109375" style="71" bestFit="1" customWidth="1"/>
    <col min="4" max="4" width="12.28515625" style="71" bestFit="1" customWidth="1"/>
    <col min="5" max="5" width="11.7109375" style="71" bestFit="1" customWidth="1"/>
    <col min="6" max="6" width="12.7109375" style="71" bestFit="1" customWidth="1"/>
    <col min="7" max="7" width="13.7109375" style="71" bestFit="1" customWidth="1"/>
    <col min="8" max="8" width="12.7109375" style="71" bestFit="1" customWidth="1"/>
    <col min="9" max="9" width="13.7109375" style="71" bestFit="1" customWidth="1"/>
    <col min="10" max="10" width="12.28515625" bestFit="1" customWidth="1"/>
    <col min="11" max="17" width="4.5703125" bestFit="1" customWidth="1"/>
  </cols>
  <sheetData>
    <row r="1" spans="1:17">
      <c r="A1" s="67" t="s">
        <v>83</v>
      </c>
      <c r="B1" s="51"/>
    </row>
    <row r="2" spans="1:17">
      <c r="A2" s="68" t="s">
        <v>84</v>
      </c>
      <c r="B2" s="3"/>
    </row>
    <row r="3" spans="1:17" ht="15" customHeight="1">
      <c r="A3" s="8"/>
      <c r="I3" s="72"/>
    </row>
    <row r="4" spans="1:17" ht="15">
      <c r="A4" s="10" t="s">
        <v>102</v>
      </c>
      <c r="B4" s="11"/>
      <c r="C4" s="73"/>
      <c r="D4" s="73"/>
      <c r="E4" s="73"/>
      <c r="F4" s="73"/>
      <c r="G4" s="73"/>
      <c r="H4" s="13"/>
      <c r="I4" s="74"/>
    </row>
    <row r="5" spans="1:17" ht="15.75" customHeight="1">
      <c r="A5" s="10" t="s">
        <v>0</v>
      </c>
      <c r="B5" s="11"/>
      <c r="C5" s="15"/>
      <c r="D5" s="16"/>
      <c r="E5" s="16"/>
      <c r="F5" s="16"/>
      <c r="G5" s="15"/>
      <c r="H5" s="15"/>
      <c r="I5" s="15"/>
    </row>
    <row r="6" spans="1:17" ht="12.75" customHeight="1">
      <c r="A6" s="75" t="s">
        <v>1</v>
      </c>
      <c r="B6" s="11"/>
      <c r="C6" s="15"/>
      <c r="D6" s="16"/>
      <c r="E6" s="16"/>
      <c r="F6" s="16"/>
      <c r="G6" s="15"/>
      <c r="H6" s="15"/>
      <c r="I6" s="15"/>
    </row>
    <row r="7" spans="1:17" ht="12" customHeight="1" thickBot="1">
      <c r="A7" s="75"/>
      <c r="B7" s="11"/>
      <c r="C7" s="15"/>
      <c r="D7" s="16"/>
      <c r="E7" s="16"/>
      <c r="F7" s="16"/>
      <c r="G7" s="15"/>
      <c r="H7" s="15"/>
      <c r="I7" s="15"/>
    </row>
    <row r="8" spans="1:17" ht="13.5" customHeight="1">
      <c r="A8" s="18"/>
      <c r="B8" s="19"/>
      <c r="C8" s="20" t="s">
        <v>2</v>
      </c>
      <c r="D8" s="76"/>
      <c r="E8" s="76"/>
      <c r="F8" s="76"/>
      <c r="G8" s="76"/>
      <c r="H8" s="77" t="s">
        <v>61</v>
      </c>
      <c r="I8" s="23"/>
    </row>
    <row r="9" spans="1:17" ht="13.5" customHeight="1">
      <c r="A9" s="24"/>
      <c r="B9" s="25" t="s">
        <v>3</v>
      </c>
      <c r="C9" s="78" t="s">
        <v>4</v>
      </c>
      <c r="D9" s="79" t="s">
        <v>5</v>
      </c>
      <c r="E9" s="78" t="s">
        <v>6</v>
      </c>
      <c r="F9" s="79" t="s">
        <v>7</v>
      </c>
      <c r="G9" s="78" t="s">
        <v>8</v>
      </c>
      <c r="H9" s="70" t="s">
        <v>62</v>
      </c>
      <c r="I9" s="80" t="s">
        <v>9</v>
      </c>
    </row>
    <row r="10" spans="1:17" ht="13.5" customHeight="1">
      <c r="A10" s="24"/>
      <c r="B10" s="4"/>
      <c r="C10" s="81" t="s">
        <v>10</v>
      </c>
      <c r="D10" s="81" t="s">
        <v>11</v>
      </c>
      <c r="E10" s="81" t="s">
        <v>12</v>
      </c>
      <c r="F10" s="70" t="s">
        <v>91</v>
      </c>
      <c r="G10" s="82"/>
      <c r="H10" s="70" t="s">
        <v>13</v>
      </c>
      <c r="I10" s="83"/>
    </row>
    <row r="11" spans="1:17" ht="11.25" customHeight="1">
      <c r="A11" s="33"/>
      <c r="B11" s="5"/>
      <c r="C11" s="84"/>
      <c r="D11" s="84"/>
      <c r="E11" s="84"/>
      <c r="F11" s="84"/>
      <c r="G11" s="84"/>
      <c r="H11" s="84"/>
      <c r="I11" s="85"/>
    </row>
    <row r="12" spans="1:17" ht="11.25" customHeight="1">
      <c r="A12" s="36" t="s">
        <v>14</v>
      </c>
      <c r="B12" s="37" t="s">
        <v>15</v>
      </c>
      <c r="C12" s="54">
        <v>38770838</v>
      </c>
      <c r="D12" s="54">
        <v>3923620.9</v>
      </c>
      <c r="E12" s="54">
        <v>2222651.8000000003</v>
      </c>
      <c r="F12" s="54">
        <v>53653893.599999994</v>
      </c>
      <c r="G12" s="54">
        <v>98571004.299999982</v>
      </c>
      <c r="H12" s="54">
        <v>12539221.1</v>
      </c>
      <c r="I12" s="55">
        <v>111110225.39999998</v>
      </c>
      <c r="J12" s="90"/>
      <c r="K12" s="90">
        <f>+C12-[1]AIF!C453</f>
        <v>0</v>
      </c>
      <c r="L12" s="90">
        <f>+D12-[1]AIF!D453</f>
        <v>0</v>
      </c>
      <c r="M12" s="90">
        <f>+E12-[1]AIF!E453</f>
        <v>0</v>
      </c>
      <c r="N12" s="90">
        <f>+F12-[1]AIF!F453</f>
        <v>0</v>
      </c>
      <c r="O12" s="90">
        <f>+G12-[1]AIF!G453</f>
        <v>0</v>
      </c>
      <c r="P12" s="90">
        <f>+H12-[1]AIF!H453</f>
        <v>0</v>
      </c>
      <c r="Q12" s="90">
        <f>+I12-[1]AIF!I453</f>
        <v>0</v>
      </c>
    </row>
    <row r="13" spans="1:17">
      <c r="A13" s="24"/>
      <c r="B13" s="6" t="s">
        <v>80</v>
      </c>
      <c r="C13" s="56">
        <v>37621702.600000001</v>
      </c>
      <c r="D13" s="56">
        <v>2773025.8</v>
      </c>
      <c r="E13" s="56">
        <v>952240.6</v>
      </c>
      <c r="F13" s="56">
        <v>17895079.699999999</v>
      </c>
      <c r="G13" s="57">
        <v>59242048.700000003</v>
      </c>
      <c r="H13" s="56">
        <v>3548736.3</v>
      </c>
      <c r="I13" s="58">
        <v>62790785</v>
      </c>
      <c r="J13" s="90"/>
      <c r="K13" s="90">
        <f>+C13-[1]AIF!C454</f>
        <v>0</v>
      </c>
      <c r="L13" s="90">
        <f>+D13-[1]AIF!D454</f>
        <v>0</v>
      </c>
      <c r="M13" s="90">
        <f>+E13-[1]AIF!E454</f>
        <v>0</v>
      </c>
      <c r="N13" s="90">
        <f>+F13-[1]AIF!F454</f>
        <v>0</v>
      </c>
      <c r="O13" s="90">
        <f>+G13-[1]AIF!G454</f>
        <v>0</v>
      </c>
      <c r="P13" s="90">
        <f>+H13-[1]AIF!H454</f>
        <v>0</v>
      </c>
      <c r="Q13" s="90">
        <f>+I13-[1]AIF!I454</f>
        <v>0</v>
      </c>
    </row>
    <row r="14" spans="1:17">
      <c r="A14" s="24"/>
      <c r="B14" s="6" t="s">
        <v>72</v>
      </c>
      <c r="C14" s="56">
        <v>0</v>
      </c>
      <c r="D14" s="56">
        <v>4178.3</v>
      </c>
      <c r="E14" s="56">
        <v>62412.1</v>
      </c>
      <c r="F14" s="56">
        <v>34883429.399999999</v>
      </c>
      <c r="G14" s="57">
        <v>34950019.799999997</v>
      </c>
      <c r="H14" s="56">
        <v>5244780.4000000004</v>
      </c>
      <c r="I14" s="58">
        <v>40194800.199999996</v>
      </c>
      <c r="J14" s="90"/>
      <c r="K14" s="90">
        <f>+C14-[1]AIF!C455</f>
        <v>0</v>
      </c>
      <c r="L14" s="90">
        <f>+D14-[1]AIF!D455</f>
        <v>0</v>
      </c>
      <c r="M14" s="90">
        <f>+E14-[1]AIF!E455</f>
        <v>0</v>
      </c>
      <c r="N14" s="90">
        <f>+F14-[1]AIF!F455</f>
        <v>0</v>
      </c>
      <c r="O14" s="90">
        <f>+G14-[1]AIF!G455</f>
        <v>0</v>
      </c>
      <c r="P14" s="90">
        <f>+H14-[1]AIF!H455</f>
        <v>0</v>
      </c>
      <c r="Q14" s="90">
        <f>+I14-[1]AIF!I455</f>
        <v>0</v>
      </c>
    </row>
    <row r="15" spans="1:17">
      <c r="A15" s="24"/>
      <c r="B15" s="6" t="s">
        <v>81</v>
      </c>
      <c r="C15" s="56">
        <v>156520</v>
      </c>
      <c r="D15" s="56">
        <v>1041056.7</v>
      </c>
      <c r="E15" s="56">
        <v>1105419.7000000002</v>
      </c>
      <c r="F15" s="56">
        <v>57492.600000000006</v>
      </c>
      <c r="G15" s="57">
        <v>2360489.0000000005</v>
      </c>
      <c r="H15" s="56">
        <v>1007536.3999999999</v>
      </c>
      <c r="I15" s="58">
        <v>3368025.4000000004</v>
      </c>
      <c r="J15" s="90"/>
      <c r="K15" s="90">
        <f>+C15-[1]AIF!C456</f>
        <v>0</v>
      </c>
      <c r="L15" s="90">
        <f>+D15-[1]AIF!D456</f>
        <v>0</v>
      </c>
      <c r="M15" s="90">
        <f>+E15-[1]AIF!E456</f>
        <v>0</v>
      </c>
      <c r="N15" s="90">
        <f>+F15-[1]AIF!F456</f>
        <v>0</v>
      </c>
      <c r="O15" s="90">
        <f>+G15-[1]AIF!G456</f>
        <v>0</v>
      </c>
      <c r="P15" s="90">
        <f>+H15-[1]AIF!H456</f>
        <v>0</v>
      </c>
      <c r="Q15" s="90">
        <f>+I15-[1]AIF!I456</f>
        <v>0</v>
      </c>
    </row>
    <row r="16" spans="1:17">
      <c r="A16" s="24"/>
      <c r="B16" s="6" t="s">
        <v>16</v>
      </c>
      <c r="C16" s="56">
        <v>53.5</v>
      </c>
      <c r="D16" s="56">
        <v>98958.1</v>
      </c>
      <c r="E16" s="56">
        <v>96778.4</v>
      </c>
      <c r="F16" s="56">
        <v>0</v>
      </c>
      <c r="G16" s="57">
        <v>195790</v>
      </c>
      <c r="H16" s="56">
        <v>0</v>
      </c>
      <c r="I16" s="58">
        <v>195790</v>
      </c>
      <c r="J16" s="90"/>
      <c r="K16" s="90">
        <f>+C16-[1]AIF!C457</f>
        <v>0</v>
      </c>
      <c r="L16" s="90">
        <f>+D16-[1]AIF!D457</f>
        <v>0</v>
      </c>
      <c r="M16" s="90">
        <f>+E16-[1]AIF!E457</f>
        <v>0</v>
      </c>
      <c r="N16" s="90">
        <f>+F16-[1]AIF!F457</f>
        <v>0</v>
      </c>
      <c r="O16" s="90">
        <f>+G16-[1]AIF!G457</f>
        <v>0</v>
      </c>
      <c r="P16" s="90">
        <f>+H16-[1]AIF!H457</f>
        <v>0</v>
      </c>
      <c r="Q16" s="90">
        <f>+I16-[1]AIF!I457</f>
        <v>0</v>
      </c>
    </row>
    <row r="17" spans="1:17">
      <c r="A17" s="24"/>
      <c r="B17" s="6" t="s">
        <v>17</v>
      </c>
      <c r="C17" s="56">
        <v>0</v>
      </c>
      <c r="D17" s="56">
        <v>0</v>
      </c>
      <c r="E17" s="56">
        <v>0</v>
      </c>
      <c r="F17" s="56">
        <v>0</v>
      </c>
      <c r="G17" s="57">
        <v>0</v>
      </c>
      <c r="H17" s="56">
        <v>0</v>
      </c>
      <c r="I17" s="58">
        <v>0</v>
      </c>
      <c r="J17" s="90"/>
      <c r="K17" s="90">
        <f>+C17-[1]AIF!C458</f>
        <v>0</v>
      </c>
      <c r="L17" s="90">
        <f>+D17-[1]AIF!D458</f>
        <v>0</v>
      </c>
      <c r="M17" s="90">
        <f>+E17-[1]AIF!E458</f>
        <v>0</v>
      </c>
      <c r="N17" s="90">
        <f>+F17-[1]AIF!F458</f>
        <v>0</v>
      </c>
      <c r="O17" s="90">
        <f>+G17-[1]AIF!G458</f>
        <v>0</v>
      </c>
      <c r="P17" s="90">
        <f>+H17-[1]AIF!H458</f>
        <v>0</v>
      </c>
      <c r="Q17" s="90">
        <f>+I17-[1]AIF!I458</f>
        <v>0</v>
      </c>
    </row>
    <row r="18" spans="1:17">
      <c r="A18" s="24"/>
      <c r="B18" s="6" t="s">
        <v>74</v>
      </c>
      <c r="C18" s="56">
        <v>956671.99999999988</v>
      </c>
      <c r="D18" s="56">
        <v>4367</v>
      </c>
      <c r="E18" s="56">
        <v>5360.0999999999995</v>
      </c>
      <c r="F18" s="56">
        <v>817891.9</v>
      </c>
      <c r="G18" s="57">
        <v>1784291</v>
      </c>
      <c r="H18" s="56">
        <v>1312960.9000000001</v>
      </c>
      <c r="I18" s="58">
        <v>3097251.9000000004</v>
      </c>
      <c r="J18" s="90"/>
      <c r="K18" s="90">
        <f>+C18-[1]AIF!C459</f>
        <v>0</v>
      </c>
      <c r="L18" s="90">
        <f>+D18-[1]AIF!D459</f>
        <v>0</v>
      </c>
      <c r="M18" s="90">
        <f>+E18-[1]AIF!E459</f>
        <v>0</v>
      </c>
      <c r="N18" s="90">
        <f>+F18-[1]AIF!F459</f>
        <v>0</v>
      </c>
      <c r="O18" s="90">
        <f>+G18-[1]AIF!G459</f>
        <v>0</v>
      </c>
      <c r="P18" s="90">
        <f>+H18-[1]AIF!H459</f>
        <v>0</v>
      </c>
      <c r="Q18" s="90">
        <f>+I18-[1]AIF!I459</f>
        <v>0</v>
      </c>
    </row>
    <row r="19" spans="1:17">
      <c r="A19" s="24"/>
      <c r="B19" s="6" t="s">
        <v>18</v>
      </c>
      <c r="C19" s="56">
        <v>35889.899999999994</v>
      </c>
      <c r="D19" s="56">
        <v>2035</v>
      </c>
      <c r="E19" s="56">
        <v>440.90000000000003</v>
      </c>
      <c r="F19" s="56">
        <v>0</v>
      </c>
      <c r="G19" s="57">
        <v>38365.799999999996</v>
      </c>
      <c r="H19" s="56">
        <v>11532.6</v>
      </c>
      <c r="I19" s="58">
        <v>49898.399999999994</v>
      </c>
      <c r="J19" s="90"/>
      <c r="K19" s="90">
        <f>+C19-[1]AIF!C460</f>
        <v>0</v>
      </c>
      <c r="L19" s="90">
        <f>+D19-[1]AIF!D460</f>
        <v>0</v>
      </c>
      <c r="M19" s="90">
        <f>+E19-[1]AIF!E460</f>
        <v>0</v>
      </c>
      <c r="N19" s="90">
        <f>+F19-[1]AIF!F460</f>
        <v>0</v>
      </c>
      <c r="O19" s="90">
        <f>+G19-[1]AIF!G460</f>
        <v>0</v>
      </c>
      <c r="P19" s="90">
        <f>+H19-[1]AIF!H460</f>
        <v>0</v>
      </c>
      <c r="Q19" s="90">
        <f>+I19-[1]AIF!I460</f>
        <v>0</v>
      </c>
    </row>
    <row r="20" spans="1:17">
      <c r="A20" s="24"/>
      <c r="B20" s="6" t="s">
        <v>19</v>
      </c>
      <c r="C20" s="56">
        <v>0</v>
      </c>
      <c r="D20" s="56">
        <v>0</v>
      </c>
      <c r="E20" s="56">
        <v>0</v>
      </c>
      <c r="F20" s="56">
        <v>0</v>
      </c>
      <c r="G20" s="57">
        <v>0</v>
      </c>
      <c r="H20" s="56">
        <v>199142.3</v>
      </c>
      <c r="I20" s="58">
        <v>199142.3</v>
      </c>
      <c r="J20" s="90"/>
      <c r="K20" s="90">
        <f>+C20-[1]AIF!C461</f>
        <v>0</v>
      </c>
      <c r="L20" s="90">
        <f>+D20-[1]AIF!D461</f>
        <v>0</v>
      </c>
      <c r="M20" s="90">
        <f>+E20-[1]AIF!E461</f>
        <v>0</v>
      </c>
      <c r="N20" s="90">
        <f>+F20-[1]AIF!F461</f>
        <v>0</v>
      </c>
      <c r="O20" s="90">
        <f>+G20-[1]AIF!G461</f>
        <v>0</v>
      </c>
      <c r="P20" s="90">
        <f>+H20-[1]AIF!H461</f>
        <v>0</v>
      </c>
      <c r="Q20" s="90">
        <f>+I20-[1]AIF!I461</f>
        <v>0</v>
      </c>
    </row>
    <row r="21" spans="1:17">
      <c r="A21" s="24"/>
      <c r="B21" s="6" t="s">
        <v>86</v>
      </c>
      <c r="C21" s="56">
        <v>0</v>
      </c>
      <c r="D21" s="56">
        <v>0</v>
      </c>
      <c r="E21" s="56">
        <v>0</v>
      </c>
      <c r="F21" s="56">
        <v>0</v>
      </c>
      <c r="G21" s="57">
        <v>0</v>
      </c>
      <c r="H21" s="56">
        <v>1214532.2</v>
      </c>
      <c r="I21" s="58">
        <v>1214532.2</v>
      </c>
      <c r="J21" s="90"/>
      <c r="K21" s="90">
        <f>+C21-[1]AIF!C462</f>
        <v>0</v>
      </c>
      <c r="L21" s="90">
        <f>+D21-[1]AIF!D462</f>
        <v>0</v>
      </c>
      <c r="M21" s="90">
        <f>+E21-[1]AIF!E462</f>
        <v>0</v>
      </c>
      <c r="N21" s="90">
        <f>+F21-[1]AIF!F462</f>
        <v>0</v>
      </c>
      <c r="O21" s="90">
        <f>+G21-[1]AIF!G462</f>
        <v>0</v>
      </c>
      <c r="P21" s="90">
        <f>+H21-[1]AIF!H462</f>
        <v>0</v>
      </c>
      <c r="Q21" s="90">
        <f>+I21-[1]AIF!I462</f>
        <v>0</v>
      </c>
    </row>
    <row r="22" spans="1:17" ht="4.5" customHeight="1">
      <c r="A22" s="24"/>
      <c r="B22" s="6"/>
      <c r="C22" s="57"/>
      <c r="D22" s="57"/>
      <c r="E22" s="1"/>
      <c r="F22" s="57"/>
      <c r="G22" s="57"/>
      <c r="H22" s="57"/>
      <c r="I22" s="58"/>
      <c r="J22" s="90"/>
      <c r="K22" s="90">
        <f>+C22-[1]AIF!C463</f>
        <v>0</v>
      </c>
      <c r="L22" s="90">
        <f>+D22-[1]AIF!D463</f>
        <v>0</v>
      </c>
      <c r="M22" s="90">
        <f>+E22-[1]AIF!E463</f>
        <v>0</v>
      </c>
      <c r="N22" s="90">
        <f>+F22-[1]AIF!F463</f>
        <v>0</v>
      </c>
      <c r="O22" s="90">
        <f>+G22-[1]AIF!G463</f>
        <v>0</v>
      </c>
      <c r="P22" s="90">
        <f>+H22-[1]AIF!H463</f>
        <v>0</v>
      </c>
      <c r="Q22" s="90">
        <f>+I22-[1]AIF!I463</f>
        <v>0</v>
      </c>
    </row>
    <row r="23" spans="1:17" ht="11.25" customHeight="1">
      <c r="A23" s="36" t="s">
        <v>20</v>
      </c>
      <c r="B23" s="37" t="s">
        <v>21</v>
      </c>
      <c r="C23" s="54">
        <v>30277572.200000003</v>
      </c>
      <c r="D23" s="54">
        <v>5625542</v>
      </c>
      <c r="E23" s="54">
        <v>2487673.4</v>
      </c>
      <c r="F23" s="54">
        <v>55832222.599999994</v>
      </c>
      <c r="G23" s="54">
        <v>94223010.199999988</v>
      </c>
      <c r="H23" s="54">
        <v>13742880.6</v>
      </c>
      <c r="I23" s="55">
        <v>107965890.79999998</v>
      </c>
      <c r="J23" s="90"/>
      <c r="K23" s="90">
        <f>+C23-[1]AIF!C464</f>
        <v>0</v>
      </c>
      <c r="L23" s="90">
        <f>+D23-[1]AIF!D464</f>
        <v>0</v>
      </c>
      <c r="M23" s="90">
        <f>+E23-[1]AIF!E464</f>
        <v>0</v>
      </c>
      <c r="N23" s="90">
        <f>+F23-[1]AIF!F464</f>
        <v>0</v>
      </c>
      <c r="O23" s="90">
        <f>+G23-[1]AIF!G464</f>
        <v>0</v>
      </c>
      <c r="P23" s="90">
        <f>+H23-[1]AIF!H464</f>
        <v>0</v>
      </c>
      <c r="Q23" s="90">
        <f>+I23-[1]AIF!I464</f>
        <v>0</v>
      </c>
    </row>
    <row r="24" spans="1:17">
      <c r="A24" s="24"/>
      <c r="B24" s="6" t="s">
        <v>22</v>
      </c>
      <c r="C24" s="57">
        <v>8476798.0999999996</v>
      </c>
      <c r="D24" s="57">
        <v>1900006.0999999999</v>
      </c>
      <c r="E24" s="57">
        <v>2356994.6</v>
      </c>
      <c r="F24" s="57">
        <v>731191.2</v>
      </c>
      <c r="G24" s="57">
        <v>13464989.999999998</v>
      </c>
      <c r="H24" s="57">
        <v>3353018.7</v>
      </c>
      <c r="I24" s="58">
        <v>16818008.699999999</v>
      </c>
      <c r="J24" s="90"/>
      <c r="K24" s="90">
        <f>+C24-[1]AIF!C465</f>
        <v>0</v>
      </c>
      <c r="L24" s="90">
        <f>+D24-[1]AIF!D465</f>
        <v>0</v>
      </c>
      <c r="M24" s="90">
        <f>+E24-[1]AIF!E465</f>
        <v>0</v>
      </c>
      <c r="N24" s="90">
        <f>+F24-[1]AIF!F465</f>
        <v>0</v>
      </c>
      <c r="O24" s="90">
        <f>+G24-[1]AIF!G465</f>
        <v>0</v>
      </c>
      <c r="P24" s="90">
        <f>+H24-[1]AIF!H465</f>
        <v>0</v>
      </c>
      <c r="Q24" s="90">
        <f>+I24-[1]AIF!I465</f>
        <v>0</v>
      </c>
    </row>
    <row r="25" spans="1:17">
      <c r="A25" s="24"/>
      <c r="B25" s="6" t="s">
        <v>23</v>
      </c>
      <c r="C25" s="56">
        <v>6972465.7999999998</v>
      </c>
      <c r="D25" s="56">
        <v>1587612.5999999999</v>
      </c>
      <c r="E25" s="56">
        <v>1817371.2</v>
      </c>
      <c r="F25" s="56">
        <v>626271</v>
      </c>
      <c r="G25" s="57">
        <v>11003720.6</v>
      </c>
      <c r="H25" s="56">
        <v>2132836.2000000002</v>
      </c>
      <c r="I25" s="58">
        <v>13136556.800000001</v>
      </c>
      <c r="J25" s="90"/>
      <c r="K25" s="90">
        <f>+C25-[1]AIF!C466</f>
        <v>0</v>
      </c>
      <c r="L25" s="90">
        <f>+D25-[1]AIF!D466</f>
        <v>0</v>
      </c>
      <c r="M25" s="90">
        <f>+E25-[1]AIF!E466</f>
        <v>0</v>
      </c>
      <c r="N25" s="90">
        <f>+F25-[1]AIF!F466</f>
        <v>0</v>
      </c>
      <c r="O25" s="90">
        <f>+G25-[1]AIF!G466</f>
        <v>0</v>
      </c>
      <c r="P25" s="90">
        <f>+H25-[1]AIF!H466</f>
        <v>0</v>
      </c>
      <c r="Q25" s="90">
        <f>+I25-[1]AIF!I466</f>
        <v>0</v>
      </c>
    </row>
    <row r="26" spans="1:17">
      <c r="A26" s="24"/>
      <c r="B26" s="6" t="s">
        <v>24</v>
      </c>
      <c r="C26" s="56">
        <v>1504255.3</v>
      </c>
      <c r="D26" s="56">
        <v>312385</v>
      </c>
      <c r="E26" s="56">
        <v>539582.30000000005</v>
      </c>
      <c r="F26" s="56">
        <v>104920.2</v>
      </c>
      <c r="G26" s="57">
        <v>2461142.8000000003</v>
      </c>
      <c r="H26" s="56">
        <v>1213780.8</v>
      </c>
      <c r="I26" s="58">
        <v>3674923.6000000006</v>
      </c>
      <c r="J26" s="90"/>
      <c r="K26" s="90">
        <f>+C26-[1]AIF!C467</f>
        <v>0</v>
      </c>
      <c r="L26" s="90">
        <f>+D26-[1]AIF!D467</f>
        <v>0</v>
      </c>
      <c r="M26" s="90">
        <f>+E26-[1]AIF!E467</f>
        <v>0</v>
      </c>
      <c r="N26" s="90">
        <f>+F26-[1]AIF!F467</f>
        <v>0</v>
      </c>
      <c r="O26" s="90">
        <f>+G26-[1]AIF!G467</f>
        <v>0</v>
      </c>
      <c r="P26" s="90">
        <f>+H26-[1]AIF!H467</f>
        <v>0</v>
      </c>
      <c r="Q26" s="90">
        <f>+I26-[1]AIF!I467</f>
        <v>0</v>
      </c>
    </row>
    <row r="27" spans="1:17">
      <c r="A27" s="24"/>
      <c r="B27" s="6" t="s">
        <v>25</v>
      </c>
      <c r="C27" s="56">
        <v>77</v>
      </c>
      <c r="D27" s="56">
        <v>8.5</v>
      </c>
      <c r="E27" s="56">
        <v>41.1</v>
      </c>
      <c r="F27" s="56">
        <v>0</v>
      </c>
      <c r="G27" s="57">
        <v>126.6</v>
      </c>
      <c r="H27" s="56">
        <v>6401.7000000000007</v>
      </c>
      <c r="I27" s="58">
        <v>6528.3000000000011</v>
      </c>
      <c r="J27" s="90"/>
      <c r="K27" s="90">
        <f>+C27-[1]AIF!C468</f>
        <v>0</v>
      </c>
      <c r="L27" s="90">
        <f>+D27-[1]AIF!D468</f>
        <v>0</v>
      </c>
      <c r="M27" s="90">
        <f>+E27-[1]AIF!E468</f>
        <v>0</v>
      </c>
      <c r="N27" s="90">
        <f>+F27-[1]AIF!F468</f>
        <v>0</v>
      </c>
      <c r="O27" s="90">
        <f>+G27-[1]AIF!G468</f>
        <v>0</v>
      </c>
      <c r="P27" s="90">
        <f>+H27-[1]AIF!H468</f>
        <v>0</v>
      </c>
      <c r="Q27" s="90">
        <f>+I27-[1]AIF!I468</f>
        <v>0</v>
      </c>
    </row>
    <row r="28" spans="1:17">
      <c r="A28" s="24"/>
      <c r="B28" s="6" t="s">
        <v>73</v>
      </c>
      <c r="C28" s="57">
        <v>9919978.6000000015</v>
      </c>
      <c r="D28" s="57">
        <v>1014.8</v>
      </c>
      <c r="E28" s="57">
        <v>3145.2999999999997</v>
      </c>
      <c r="F28" s="57">
        <v>0</v>
      </c>
      <c r="G28" s="57">
        <v>9924138.700000003</v>
      </c>
      <c r="H28" s="57">
        <v>28496.400000000001</v>
      </c>
      <c r="I28" s="58">
        <v>9952635.1000000034</v>
      </c>
      <c r="J28" s="90"/>
      <c r="K28" s="90">
        <f>+C28-[1]AIF!C469</f>
        <v>0</v>
      </c>
      <c r="L28" s="90">
        <f>+D28-[1]AIF!D469</f>
        <v>0</v>
      </c>
      <c r="M28" s="90">
        <f>+E28-[1]AIF!E469</f>
        <v>0</v>
      </c>
      <c r="N28" s="90">
        <f>+F28-[1]AIF!F469</f>
        <v>0</v>
      </c>
      <c r="O28" s="90">
        <f>+G28-[1]AIF!G469</f>
        <v>0</v>
      </c>
      <c r="P28" s="90">
        <f>+H28-[1]AIF!H469</f>
        <v>0</v>
      </c>
      <c r="Q28" s="90">
        <f>+I28-[1]AIF!I469</f>
        <v>0</v>
      </c>
    </row>
    <row r="29" spans="1:17">
      <c r="A29" s="24"/>
      <c r="B29" s="6" t="s">
        <v>75</v>
      </c>
      <c r="C29" s="56">
        <v>9919331.7000000011</v>
      </c>
      <c r="D29" s="56">
        <v>0</v>
      </c>
      <c r="E29" s="56">
        <v>1061.0999999999999</v>
      </c>
      <c r="F29" s="56">
        <v>0</v>
      </c>
      <c r="G29" s="57">
        <v>9920392.8000000007</v>
      </c>
      <c r="H29" s="56">
        <v>20671.100000000002</v>
      </c>
      <c r="I29" s="58">
        <v>9941063.9000000004</v>
      </c>
      <c r="J29" s="90"/>
      <c r="K29" s="90">
        <f>+C29-[1]AIF!C470</f>
        <v>0</v>
      </c>
      <c r="L29" s="90">
        <f>+D29-[1]AIF!D470</f>
        <v>0</v>
      </c>
      <c r="M29" s="90">
        <f>+E29-[1]AIF!E470</f>
        <v>0</v>
      </c>
      <c r="N29" s="90">
        <f>+F29-[1]AIF!F470</f>
        <v>0</v>
      </c>
      <c r="O29" s="90">
        <f>+G29-[1]AIF!G470</f>
        <v>0</v>
      </c>
      <c r="P29" s="90">
        <f>+H29-[1]AIF!H470</f>
        <v>0</v>
      </c>
      <c r="Q29" s="90">
        <f>+I29-[1]AIF!I470</f>
        <v>0</v>
      </c>
    </row>
    <row r="30" spans="1:17">
      <c r="A30" s="24"/>
      <c r="B30" s="6" t="s">
        <v>26</v>
      </c>
      <c r="C30" s="57">
        <v>646.90000000000009</v>
      </c>
      <c r="D30" s="56">
        <v>1014.8</v>
      </c>
      <c r="E30" s="56">
        <v>2084.1999999999998</v>
      </c>
      <c r="F30" s="56">
        <v>0</v>
      </c>
      <c r="G30" s="57">
        <v>3745.8999999999996</v>
      </c>
      <c r="H30" s="56">
        <v>7825.2999999999993</v>
      </c>
      <c r="I30" s="58">
        <v>11571.199999999999</v>
      </c>
      <c r="J30" s="90"/>
      <c r="K30" s="90">
        <f>+C30-[1]AIF!C471</f>
        <v>0</v>
      </c>
      <c r="L30" s="90">
        <f>+D30-[1]AIF!D471</f>
        <v>0</v>
      </c>
      <c r="M30" s="90">
        <f>+E30-[1]AIF!E471</f>
        <v>0</v>
      </c>
      <c r="N30" s="90">
        <f>+F30-[1]AIF!F471</f>
        <v>0</v>
      </c>
      <c r="O30" s="90">
        <f>+G30-[1]AIF!G471</f>
        <v>0</v>
      </c>
      <c r="P30" s="90">
        <f>+H30-[1]AIF!H471</f>
        <v>0</v>
      </c>
      <c r="Q30" s="90">
        <f>+I30-[1]AIF!I471</f>
        <v>0</v>
      </c>
    </row>
    <row r="31" spans="1:17">
      <c r="A31" s="24"/>
      <c r="B31" s="38" t="s">
        <v>27</v>
      </c>
      <c r="C31" s="56">
        <v>0</v>
      </c>
      <c r="D31" s="56">
        <v>2628833.7000000002</v>
      </c>
      <c r="E31" s="56">
        <v>0</v>
      </c>
      <c r="F31" s="56">
        <v>44746927.299999997</v>
      </c>
      <c r="G31" s="57">
        <v>47375761</v>
      </c>
      <c r="H31" s="56">
        <v>0</v>
      </c>
      <c r="I31" s="58">
        <v>47375761</v>
      </c>
      <c r="J31" s="90"/>
      <c r="K31" s="90">
        <f>+C31-[1]AIF!C472</f>
        <v>0</v>
      </c>
      <c r="L31" s="90">
        <f>+D31-[1]AIF!D472</f>
        <v>0</v>
      </c>
      <c r="M31" s="90">
        <f>+E31-[1]AIF!E472</f>
        <v>0</v>
      </c>
      <c r="N31" s="90">
        <f>+F31-[1]AIF!F472</f>
        <v>0</v>
      </c>
      <c r="O31" s="90">
        <f>+G31-[1]AIF!G472</f>
        <v>0</v>
      </c>
      <c r="P31" s="90">
        <f>+H31-[1]AIF!H472</f>
        <v>0</v>
      </c>
      <c r="Q31" s="90">
        <f>+I31-[1]AIF!I472</f>
        <v>0</v>
      </c>
    </row>
    <row r="32" spans="1:17">
      <c r="A32" s="24"/>
      <c r="B32" s="6" t="s">
        <v>28</v>
      </c>
      <c r="C32" s="56">
        <v>2805.6</v>
      </c>
      <c r="D32" s="56">
        <v>33892.400000000009</v>
      </c>
      <c r="E32" s="56">
        <v>3017.5</v>
      </c>
      <c r="F32" s="56">
        <v>0</v>
      </c>
      <c r="G32" s="57">
        <v>39715.500000000007</v>
      </c>
      <c r="H32" s="56">
        <v>109378.40000000001</v>
      </c>
      <c r="I32" s="58">
        <v>149093.90000000002</v>
      </c>
      <c r="J32" s="90"/>
      <c r="K32" s="90">
        <f>+C32-[1]AIF!C473</f>
        <v>0</v>
      </c>
      <c r="L32" s="90">
        <f>+D32-[1]AIF!D473</f>
        <v>0</v>
      </c>
      <c r="M32" s="90">
        <f>+E32-[1]AIF!E473</f>
        <v>0</v>
      </c>
      <c r="N32" s="90">
        <f>+F32-[1]AIF!F473</f>
        <v>0</v>
      </c>
      <c r="O32" s="90">
        <f>+G32-[1]AIF!G473</f>
        <v>0</v>
      </c>
      <c r="P32" s="90">
        <f>+H32-[1]AIF!H473</f>
        <v>0</v>
      </c>
      <c r="Q32" s="90">
        <f>+I32-[1]AIF!I473</f>
        <v>0</v>
      </c>
    </row>
    <row r="33" spans="1:17">
      <c r="A33" s="24"/>
      <c r="B33" s="6" t="s">
        <v>18</v>
      </c>
      <c r="C33" s="57">
        <v>11877989.900000002</v>
      </c>
      <c r="D33" s="57">
        <v>1061795</v>
      </c>
      <c r="E33" s="57">
        <v>124515.99999999999</v>
      </c>
      <c r="F33" s="57">
        <v>10354104.099999998</v>
      </c>
      <c r="G33" s="57">
        <v>23418405</v>
      </c>
      <c r="H33" s="57">
        <v>8331458.7000000002</v>
      </c>
      <c r="I33" s="58">
        <v>31749863.699999999</v>
      </c>
      <c r="J33" s="90"/>
      <c r="K33" s="90">
        <f>+C33-[1]AIF!C474</f>
        <v>0</v>
      </c>
      <c r="L33" s="90">
        <f>+D33-[1]AIF!D474</f>
        <v>0</v>
      </c>
      <c r="M33" s="90">
        <f>+E33-[1]AIF!E474</f>
        <v>0</v>
      </c>
      <c r="N33" s="90">
        <f>+F33-[1]AIF!F474</f>
        <v>0</v>
      </c>
      <c r="O33" s="90">
        <f>+G33-[1]AIF!G474</f>
        <v>0</v>
      </c>
      <c r="P33" s="90">
        <f>+H33-[1]AIF!H474</f>
        <v>0</v>
      </c>
      <c r="Q33" s="90">
        <f>+I33-[1]AIF!I474</f>
        <v>0</v>
      </c>
    </row>
    <row r="34" spans="1:17">
      <c r="A34" s="24"/>
      <c r="B34" s="38" t="s">
        <v>29</v>
      </c>
      <c r="C34" s="56">
        <v>6789906.1000000015</v>
      </c>
      <c r="D34" s="56">
        <v>831595.2</v>
      </c>
      <c r="E34" s="56">
        <v>98101.099999999991</v>
      </c>
      <c r="F34" s="56">
        <v>10205937.399999999</v>
      </c>
      <c r="G34" s="57">
        <v>17925539.800000001</v>
      </c>
      <c r="H34" s="56">
        <v>8033632.6000000006</v>
      </c>
      <c r="I34" s="58">
        <v>25959172.400000002</v>
      </c>
      <c r="J34" s="90"/>
      <c r="K34" s="90">
        <f>+C34-[1]AIF!C475</f>
        <v>0</v>
      </c>
      <c r="L34" s="90">
        <f>+D34-[1]AIF!D475</f>
        <v>0</v>
      </c>
      <c r="M34" s="90">
        <f>+E34-[1]AIF!E475</f>
        <v>0</v>
      </c>
      <c r="N34" s="90">
        <f>+F34-[1]AIF!F475</f>
        <v>0</v>
      </c>
      <c r="O34" s="90">
        <f>+G34-[1]AIF!G475</f>
        <v>0</v>
      </c>
      <c r="P34" s="90">
        <f>+H34-[1]AIF!H475</f>
        <v>0</v>
      </c>
      <c r="Q34" s="90">
        <f>+I34-[1]AIF!I475</f>
        <v>0</v>
      </c>
    </row>
    <row r="35" spans="1:17">
      <c r="A35" s="24"/>
      <c r="B35" s="6" t="s">
        <v>30</v>
      </c>
      <c r="C35" s="57">
        <v>5084834.4000000004</v>
      </c>
      <c r="D35" s="57">
        <v>171636.19999999998</v>
      </c>
      <c r="E35" s="57">
        <v>21304</v>
      </c>
      <c r="F35" s="57">
        <v>148166.70000000001</v>
      </c>
      <c r="G35" s="57">
        <v>5425941.3000000007</v>
      </c>
      <c r="H35" s="57">
        <v>297070.09999999998</v>
      </c>
      <c r="I35" s="58">
        <v>5723011.4000000004</v>
      </c>
      <c r="J35" s="90"/>
      <c r="K35" s="90">
        <f>+C35-[1]AIF!C476</f>
        <v>0</v>
      </c>
      <c r="L35" s="90">
        <f>+D35-[1]AIF!D476</f>
        <v>0</v>
      </c>
      <c r="M35" s="90">
        <f>+E35-[1]AIF!E476</f>
        <v>0</v>
      </c>
      <c r="N35" s="90">
        <f>+F35-[1]AIF!F476</f>
        <v>0</v>
      </c>
      <c r="O35" s="90">
        <f>+G35-[1]AIF!G476</f>
        <v>0</v>
      </c>
      <c r="P35" s="90">
        <f>+H35-[1]AIF!H476</f>
        <v>0</v>
      </c>
      <c r="Q35" s="90">
        <f>+I35-[1]AIF!I476</f>
        <v>0</v>
      </c>
    </row>
    <row r="36" spans="1:17">
      <c r="A36" s="24"/>
      <c r="B36" s="6" t="s">
        <v>65</v>
      </c>
      <c r="C36" s="56">
        <v>910372.2</v>
      </c>
      <c r="D36" s="56">
        <v>162225.4</v>
      </c>
      <c r="E36" s="56">
        <v>21283.8</v>
      </c>
      <c r="F36" s="56">
        <v>148166.70000000001</v>
      </c>
      <c r="G36" s="57">
        <v>1242048.0999999999</v>
      </c>
      <c r="H36" s="56">
        <v>294203</v>
      </c>
      <c r="I36" s="58">
        <v>1536251.0999999999</v>
      </c>
      <c r="J36" s="90"/>
      <c r="K36" s="90">
        <f>+C36-[1]AIF!C477</f>
        <v>0</v>
      </c>
      <c r="L36" s="90">
        <f>+D36-[1]AIF!D477</f>
        <v>0</v>
      </c>
      <c r="M36" s="90">
        <f>+E36-[1]AIF!E477</f>
        <v>0</v>
      </c>
      <c r="N36" s="90">
        <f>+F36-[1]AIF!F477</f>
        <v>0</v>
      </c>
      <c r="O36" s="90">
        <f>+G36-[1]AIF!G477</f>
        <v>0</v>
      </c>
      <c r="P36" s="90">
        <f>+H36-[1]AIF!H477</f>
        <v>0</v>
      </c>
      <c r="Q36" s="90">
        <f>+I36-[1]AIF!I477</f>
        <v>0</v>
      </c>
    </row>
    <row r="37" spans="1:17">
      <c r="A37" s="24"/>
      <c r="B37" s="38" t="s">
        <v>31</v>
      </c>
      <c r="C37" s="56">
        <v>3597402.5</v>
      </c>
      <c r="D37" s="56">
        <v>0</v>
      </c>
      <c r="E37" s="56">
        <v>20.2</v>
      </c>
      <c r="F37" s="56">
        <v>0</v>
      </c>
      <c r="G37" s="57">
        <v>3597422.7</v>
      </c>
      <c r="H37" s="56">
        <v>0</v>
      </c>
      <c r="I37" s="58">
        <v>3597422.7</v>
      </c>
      <c r="J37" s="90"/>
      <c r="K37" s="90">
        <f>+C37-[1]AIF!C478</f>
        <v>0</v>
      </c>
      <c r="L37" s="90">
        <f>+D37-[1]AIF!D478</f>
        <v>0</v>
      </c>
      <c r="M37" s="90">
        <f>+E37-[1]AIF!E478</f>
        <v>0</v>
      </c>
      <c r="N37" s="90">
        <f>+F37-[1]AIF!F478</f>
        <v>0</v>
      </c>
      <c r="O37" s="90">
        <f>+G37-[1]AIF!G478</f>
        <v>0</v>
      </c>
      <c r="P37" s="90">
        <f>+H37-[1]AIF!H478</f>
        <v>0</v>
      </c>
      <c r="Q37" s="90">
        <f>+I37-[1]AIF!I478</f>
        <v>0</v>
      </c>
    </row>
    <row r="38" spans="1:17">
      <c r="A38" s="24"/>
      <c r="B38" s="6" t="s">
        <v>32</v>
      </c>
      <c r="C38" s="56">
        <v>577059.70000000019</v>
      </c>
      <c r="D38" s="56">
        <v>9410.7999999999993</v>
      </c>
      <c r="E38" s="56">
        <v>0</v>
      </c>
      <c r="F38" s="56">
        <v>0</v>
      </c>
      <c r="G38" s="57">
        <v>586470.50000000023</v>
      </c>
      <c r="H38" s="56">
        <v>2867.1</v>
      </c>
      <c r="I38" s="58">
        <v>589337.60000000021</v>
      </c>
      <c r="J38" s="90"/>
      <c r="K38" s="90">
        <f>+C38-[1]AIF!C479</f>
        <v>0</v>
      </c>
      <c r="L38" s="90">
        <f>+D38-[1]AIF!D479</f>
        <v>0</v>
      </c>
      <c r="M38" s="90">
        <f>+E38-[1]AIF!E479</f>
        <v>0</v>
      </c>
      <c r="N38" s="90">
        <f>+F38-[1]AIF!F479</f>
        <v>0</v>
      </c>
      <c r="O38" s="90">
        <f>+G38-[1]AIF!G479</f>
        <v>0</v>
      </c>
      <c r="P38" s="90">
        <f>+H38-[1]AIF!H479</f>
        <v>0</v>
      </c>
      <c r="Q38" s="90">
        <f>+I38-[1]AIF!I479</f>
        <v>0</v>
      </c>
    </row>
    <row r="39" spans="1:17">
      <c r="A39" s="24"/>
      <c r="B39" s="6" t="s">
        <v>33</v>
      </c>
      <c r="C39" s="56">
        <v>3249.3999999999996</v>
      </c>
      <c r="D39" s="56">
        <v>58563.6</v>
      </c>
      <c r="E39" s="56">
        <v>5110.8999999999996</v>
      </c>
      <c r="F39" s="56">
        <v>0</v>
      </c>
      <c r="G39" s="57">
        <v>66923.899999999994</v>
      </c>
      <c r="H39" s="56">
        <v>756</v>
      </c>
      <c r="I39" s="58">
        <v>67679.899999999994</v>
      </c>
      <c r="J39" s="90"/>
      <c r="K39" s="90">
        <f>+C39-[1]AIF!C480</f>
        <v>0</v>
      </c>
      <c r="L39" s="90">
        <f>+D39-[1]AIF!D480</f>
        <v>0</v>
      </c>
      <c r="M39" s="90">
        <f>+E39-[1]AIF!E480</f>
        <v>0</v>
      </c>
      <c r="N39" s="90">
        <f>+F39-[1]AIF!F480</f>
        <v>0</v>
      </c>
      <c r="O39" s="90">
        <f>+G39-[1]AIF!G480</f>
        <v>0</v>
      </c>
      <c r="P39" s="90">
        <f>+H39-[1]AIF!H480</f>
        <v>0</v>
      </c>
      <c r="Q39" s="90">
        <f>+I39-[1]AIF!I480</f>
        <v>0</v>
      </c>
    </row>
    <row r="40" spans="1:17">
      <c r="A40" s="24"/>
      <c r="B40" s="6" t="s">
        <v>34</v>
      </c>
      <c r="C40" s="56">
        <v>0</v>
      </c>
      <c r="D40" s="56">
        <v>0</v>
      </c>
      <c r="E40" s="56">
        <v>0</v>
      </c>
      <c r="F40" s="56">
        <v>0</v>
      </c>
      <c r="G40" s="57">
        <v>0</v>
      </c>
      <c r="H40" s="56">
        <v>0</v>
      </c>
      <c r="I40" s="58">
        <v>0</v>
      </c>
      <c r="J40" s="90"/>
      <c r="K40" s="90">
        <f>+C40-[1]AIF!C481</f>
        <v>0</v>
      </c>
      <c r="L40" s="90">
        <f>+D40-[1]AIF!D481</f>
        <v>0</v>
      </c>
      <c r="M40" s="90">
        <f>+E40-[1]AIF!E481</f>
        <v>0</v>
      </c>
      <c r="N40" s="90">
        <f>+F40-[1]AIF!F481</f>
        <v>0</v>
      </c>
      <c r="O40" s="90">
        <f>+G40-[1]AIF!G481</f>
        <v>0</v>
      </c>
      <c r="P40" s="90">
        <f>+H40-[1]AIF!H481</f>
        <v>0</v>
      </c>
      <c r="Q40" s="90">
        <f>+I40-[1]AIF!I481</f>
        <v>0</v>
      </c>
    </row>
    <row r="41" spans="1:17">
      <c r="A41" s="24"/>
      <c r="B41" s="6" t="s">
        <v>87</v>
      </c>
      <c r="C41" s="56">
        <v>0</v>
      </c>
      <c r="D41" s="56">
        <v>0</v>
      </c>
      <c r="E41" s="56">
        <v>0</v>
      </c>
      <c r="F41" s="56">
        <v>0</v>
      </c>
      <c r="G41" s="57">
        <v>0</v>
      </c>
      <c r="H41" s="56">
        <v>1920528.4</v>
      </c>
      <c r="I41" s="58">
        <v>1920528.4</v>
      </c>
      <c r="J41" s="90"/>
      <c r="K41" s="90">
        <f>+C41-[1]AIF!C482</f>
        <v>0</v>
      </c>
      <c r="L41" s="90">
        <f>+D41-[1]AIF!D482</f>
        <v>0</v>
      </c>
      <c r="M41" s="90">
        <f>+E41-[1]AIF!E482</f>
        <v>0</v>
      </c>
      <c r="N41" s="90">
        <f>+F41-[1]AIF!F482</f>
        <v>0</v>
      </c>
      <c r="O41" s="90">
        <f>+G41-[1]AIF!G482</f>
        <v>0</v>
      </c>
      <c r="P41" s="90">
        <f>+H41-[1]AIF!H482</f>
        <v>0</v>
      </c>
      <c r="Q41" s="90">
        <f>+I41-[1]AIF!I482</f>
        <v>0</v>
      </c>
    </row>
    <row r="42" spans="1:17" ht="5.25" customHeight="1">
      <c r="A42" s="24"/>
      <c r="B42" s="6"/>
      <c r="C42" s="57"/>
      <c r="D42" s="57"/>
      <c r="E42" s="57"/>
      <c r="F42" s="57"/>
      <c r="G42" s="57"/>
      <c r="H42" s="57"/>
      <c r="I42" s="58"/>
      <c r="J42" s="90"/>
      <c r="K42" s="90">
        <f>+C42-[1]AIF!C483</f>
        <v>0</v>
      </c>
      <c r="L42" s="90">
        <f>+D42-[1]AIF!D483</f>
        <v>0</v>
      </c>
      <c r="M42" s="90">
        <f>+E42-[1]AIF!E483</f>
        <v>0</v>
      </c>
      <c r="N42" s="90">
        <f>+F42-[1]AIF!F483</f>
        <v>0</v>
      </c>
      <c r="O42" s="90">
        <f>+G42-[1]AIF!G483</f>
        <v>0</v>
      </c>
      <c r="P42" s="90">
        <f>+H42-[1]AIF!H483</f>
        <v>0</v>
      </c>
      <c r="Q42" s="90">
        <f>+I42-[1]AIF!I483</f>
        <v>0</v>
      </c>
    </row>
    <row r="43" spans="1:17" ht="11.25" customHeight="1">
      <c r="A43" s="36" t="s">
        <v>35</v>
      </c>
      <c r="B43" s="37" t="s">
        <v>36</v>
      </c>
      <c r="C43" s="54">
        <v>8493265.799999997</v>
      </c>
      <c r="D43" s="54">
        <v>-1701921.1</v>
      </c>
      <c r="E43" s="54">
        <v>-265021.59999999963</v>
      </c>
      <c r="F43" s="54">
        <v>-2178329</v>
      </c>
      <c r="G43" s="54">
        <v>4347994.0999999978</v>
      </c>
      <c r="H43" s="54">
        <v>-1203659.5</v>
      </c>
      <c r="I43" s="55">
        <v>3144334.5999999978</v>
      </c>
      <c r="J43" s="90"/>
      <c r="K43" s="90">
        <f>+C43-[1]AIF!C484</f>
        <v>0</v>
      </c>
      <c r="L43" s="90">
        <f>+D43-[1]AIF!D484</f>
        <v>0</v>
      </c>
      <c r="M43" s="90">
        <f>+E43-[1]AIF!E484</f>
        <v>0</v>
      </c>
      <c r="N43" s="90">
        <f>+F43-[1]AIF!F484</f>
        <v>0</v>
      </c>
      <c r="O43" s="90">
        <f>+G43-[1]AIF!G484</f>
        <v>0</v>
      </c>
      <c r="P43" s="90">
        <f>+H43-[1]AIF!H484</f>
        <v>0</v>
      </c>
      <c r="Q43" s="90">
        <f>+I43-[1]AIF!I484</f>
        <v>0</v>
      </c>
    </row>
    <row r="44" spans="1:17" ht="6" customHeight="1">
      <c r="A44" s="24"/>
      <c r="B44" s="6"/>
      <c r="C44" s="57"/>
      <c r="D44" s="57"/>
      <c r="E44" s="57"/>
      <c r="F44" s="57"/>
      <c r="G44" s="54"/>
      <c r="H44" s="57"/>
      <c r="I44" s="58"/>
      <c r="J44" s="90"/>
      <c r="K44" s="90">
        <f>+C44-[1]AIF!C485</f>
        <v>0</v>
      </c>
      <c r="L44" s="90">
        <f>+D44-[1]AIF!D485</f>
        <v>0</v>
      </c>
      <c r="M44" s="90">
        <f>+E44-[1]AIF!E485</f>
        <v>0</v>
      </c>
      <c r="N44" s="90">
        <f>+F44-[1]AIF!F485</f>
        <v>0</v>
      </c>
      <c r="O44" s="90">
        <f>+G44-[1]AIF!G485</f>
        <v>0</v>
      </c>
      <c r="P44" s="90">
        <f>+H44-[1]AIF!H485</f>
        <v>0</v>
      </c>
      <c r="Q44" s="90">
        <f>+I44-[1]AIF!I485</f>
        <v>0</v>
      </c>
    </row>
    <row r="45" spans="1:17" ht="11.25" customHeight="1">
      <c r="A45" s="36" t="s">
        <v>37</v>
      </c>
      <c r="B45" s="37" t="s">
        <v>89</v>
      </c>
      <c r="C45" s="54">
        <v>1252806.6000000001</v>
      </c>
      <c r="D45" s="54">
        <v>2247.6999999999998</v>
      </c>
      <c r="E45" s="54">
        <v>704.49999999999727</v>
      </c>
      <c r="F45" s="59">
        <v>0</v>
      </c>
      <c r="G45" s="54">
        <v>1255758.8</v>
      </c>
      <c r="H45" s="54">
        <v>9482.9000000000015</v>
      </c>
      <c r="I45" s="55">
        <v>1265241.7</v>
      </c>
      <c r="J45" s="90"/>
      <c r="K45" s="90">
        <f>+C45-[1]AIF!C486</f>
        <v>0</v>
      </c>
      <c r="L45" s="90">
        <f>+D45-[1]AIF!D486</f>
        <v>0</v>
      </c>
      <c r="M45" s="90">
        <f>+E45-[1]AIF!E486</f>
        <v>0</v>
      </c>
      <c r="N45" s="90">
        <f>+F45-[1]AIF!F486</f>
        <v>0</v>
      </c>
      <c r="O45" s="90">
        <f>+G45-[1]AIF!G486</f>
        <v>0</v>
      </c>
      <c r="P45" s="90">
        <f>+H45-[1]AIF!H486</f>
        <v>0</v>
      </c>
      <c r="Q45" s="90">
        <f>+I45-[1]AIF!I486</f>
        <v>0</v>
      </c>
    </row>
    <row r="46" spans="1:17" ht="6" customHeight="1">
      <c r="A46" s="24"/>
      <c r="B46" s="6"/>
      <c r="C46" s="56"/>
      <c r="D46" s="56"/>
      <c r="E46" s="56"/>
      <c r="F46" s="56"/>
      <c r="G46" s="57"/>
      <c r="H46" s="56"/>
      <c r="I46" s="58"/>
      <c r="J46" s="90"/>
      <c r="K46" s="90">
        <f>+C46-[1]AIF!C487</f>
        <v>0</v>
      </c>
      <c r="L46" s="90">
        <f>+D46-[1]AIF!D487</f>
        <v>0</v>
      </c>
      <c r="M46" s="90">
        <f>+E46-[1]AIF!E487</f>
        <v>0</v>
      </c>
      <c r="N46" s="90">
        <f>+F46-[1]AIF!F487</f>
        <v>0</v>
      </c>
      <c r="O46" s="90">
        <f>+G46-[1]AIF!G487</f>
        <v>0</v>
      </c>
      <c r="P46" s="90">
        <f>+H46-[1]AIF!H487</f>
        <v>0</v>
      </c>
      <c r="Q46" s="90">
        <f>+I46-[1]AIF!I487</f>
        <v>0</v>
      </c>
    </row>
    <row r="47" spans="1:17" ht="11.25" customHeight="1">
      <c r="A47" s="36" t="s">
        <v>38</v>
      </c>
      <c r="B47" s="37" t="s">
        <v>39</v>
      </c>
      <c r="C47" s="54">
        <v>305755.5</v>
      </c>
      <c r="D47" s="54">
        <v>116833.8</v>
      </c>
      <c r="E47" s="54">
        <v>355141.5</v>
      </c>
      <c r="F47" s="54">
        <v>1619.8</v>
      </c>
      <c r="G47" s="54">
        <v>779350.60000000009</v>
      </c>
      <c r="H47" s="54">
        <v>1293605.9000000001</v>
      </c>
      <c r="I47" s="55">
        <v>2072956.5000000002</v>
      </c>
      <c r="J47" s="90"/>
      <c r="K47" s="90">
        <f>+C47-[1]AIF!C488</f>
        <v>0</v>
      </c>
      <c r="L47" s="90">
        <f>+D47-[1]AIF!D488</f>
        <v>0</v>
      </c>
      <c r="M47" s="90">
        <f>+E47-[1]AIF!E488</f>
        <v>0</v>
      </c>
      <c r="N47" s="90">
        <f>+F47-[1]AIF!F488</f>
        <v>0</v>
      </c>
      <c r="O47" s="90">
        <f>+G47-[1]AIF!G488</f>
        <v>0</v>
      </c>
      <c r="P47" s="90">
        <f>+H47-[1]AIF!H488</f>
        <v>0</v>
      </c>
      <c r="Q47" s="90">
        <f>+I47-[1]AIF!I488</f>
        <v>0</v>
      </c>
    </row>
    <row r="48" spans="1:17">
      <c r="A48" s="24"/>
      <c r="B48" s="6" t="s">
        <v>40</v>
      </c>
      <c r="C48" s="56">
        <v>138005.79999999999</v>
      </c>
      <c r="D48" s="56">
        <v>64350.5</v>
      </c>
      <c r="E48" s="56">
        <v>345753.8</v>
      </c>
      <c r="F48" s="56">
        <v>1619.8</v>
      </c>
      <c r="G48" s="57">
        <v>549729.9</v>
      </c>
      <c r="H48" s="56">
        <v>984504.90000000014</v>
      </c>
      <c r="I48" s="58">
        <v>1534234.8000000003</v>
      </c>
      <c r="J48" s="90"/>
      <c r="K48" s="90">
        <f>+C48-[1]AIF!C489</f>
        <v>0</v>
      </c>
      <c r="L48" s="90">
        <f>+D48-[1]AIF!D489</f>
        <v>0</v>
      </c>
      <c r="M48" s="90">
        <f>+E48-[1]AIF!E489</f>
        <v>0</v>
      </c>
      <c r="N48" s="90">
        <f>+F48-[1]AIF!F489</f>
        <v>0</v>
      </c>
      <c r="O48" s="90">
        <f>+G48-[1]AIF!G489</f>
        <v>0</v>
      </c>
      <c r="P48" s="90">
        <f>+H48-[1]AIF!H489</f>
        <v>0</v>
      </c>
      <c r="Q48" s="90">
        <f>+I48-[1]AIF!I489</f>
        <v>0</v>
      </c>
    </row>
    <row r="49" spans="1:17">
      <c r="A49" s="24"/>
      <c r="B49" s="6" t="s">
        <v>41</v>
      </c>
      <c r="C49" s="57">
        <v>43088.000000000015</v>
      </c>
      <c r="D49" s="57">
        <v>52483.3</v>
      </c>
      <c r="E49" s="57">
        <v>6925.3</v>
      </c>
      <c r="F49" s="57">
        <v>0</v>
      </c>
      <c r="G49" s="57">
        <v>102496.60000000002</v>
      </c>
      <c r="H49" s="57">
        <v>309101</v>
      </c>
      <c r="I49" s="58">
        <v>411597.60000000003</v>
      </c>
      <c r="J49" s="90"/>
      <c r="K49" s="90">
        <f>+C49-[1]AIF!C490</f>
        <v>0</v>
      </c>
      <c r="L49" s="90">
        <f>+D49-[1]AIF!D490</f>
        <v>0</v>
      </c>
      <c r="M49" s="90">
        <f>+E49-[1]AIF!E490</f>
        <v>0</v>
      </c>
      <c r="N49" s="90">
        <f>+F49-[1]AIF!F490</f>
        <v>0</v>
      </c>
      <c r="O49" s="90">
        <f>+G49-[1]AIF!G490</f>
        <v>0</v>
      </c>
      <c r="P49" s="90">
        <f>+H49-[1]AIF!H490</f>
        <v>0</v>
      </c>
      <c r="Q49" s="90">
        <f>+I49-[1]AIF!I490</f>
        <v>0</v>
      </c>
    </row>
    <row r="50" spans="1:17">
      <c r="A50" s="24"/>
      <c r="B50" s="6" t="s">
        <v>66</v>
      </c>
      <c r="C50" s="56">
        <v>37289.800000000003</v>
      </c>
      <c r="D50" s="56">
        <v>32317.299999999996</v>
      </c>
      <c r="E50" s="56">
        <v>3678.3</v>
      </c>
      <c r="F50" s="56">
        <v>0</v>
      </c>
      <c r="G50" s="57">
        <v>73285.400000000009</v>
      </c>
      <c r="H50" s="56">
        <v>119271</v>
      </c>
      <c r="I50" s="58">
        <v>192556.40000000002</v>
      </c>
      <c r="J50" s="90"/>
      <c r="K50" s="90">
        <f>+C50-[1]AIF!C491</f>
        <v>0</v>
      </c>
      <c r="L50" s="90">
        <f>+D50-[1]AIF!D491</f>
        <v>0</v>
      </c>
      <c r="M50" s="90">
        <f>+E50-[1]AIF!E491</f>
        <v>0</v>
      </c>
      <c r="N50" s="90">
        <f>+F50-[1]AIF!F491</f>
        <v>0</v>
      </c>
      <c r="O50" s="90">
        <f>+G50-[1]AIF!G491</f>
        <v>0</v>
      </c>
      <c r="P50" s="90">
        <f>+H50-[1]AIF!H491</f>
        <v>0</v>
      </c>
      <c r="Q50" s="90">
        <f>+I50-[1]AIF!I491</f>
        <v>0</v>
      </c>
    </row>
    <row r="51" spans="1:17">
      <c r="A51" s="24"/>
      <c r="B51" s="6" t="s">
        <v>42</v>
      </c>
      <c r="C51" s="56">
        <v>5798.200000000008</v>
      </c>
      <c r="D51" s="56">
        <v>20166.000000000004</v>
      </c>
      <c r="E51" s="56">
        <v>3247</v>
      </c>
      <c r="F51" s="56">
        <v>0</v>
      </c>
      <c r="G51" s="57">
        <v>29211.200000000012</v>
      </c>
      <c r="H51" s="56">
        <v>189830</v>
      </c>
      <c r="I51" s="58">
        <v>219041.2</v>
      </c>
      <c r="J51" s="90"/>
      <c r="K51" s="90">
        <f>+C51-[1]AIF!C492</f>
        <v>0</v>
      </c>
      <c r="L51" s="90">
        <f>+D51-[1]AIF!D492</f>
        <v>0</v>
      </c>
      <c r="M51" s="90">
        <f>+E51-[1]AIF!E492</f>
        <v>0</v>
      </c>
      <c r="N51" s="90">
        <f>+F51-[1]AIF!F492</f>
        <v>0</v>
      </c>
      <c r="O51" s="90">
        <f>+G51-[1]AIF!G492</f>
        <v>0</v>
      </c>
      <c r="P51" s="90">
        <f>+H51-[1]AIF!H492</f>
        <v>0</v>
      </c>
      <c r="Q51" s="90">
        <f>+I51-[1]AIF!I492</f>
        <v>0</v>
      </c>
    </row>
    <row r="52" spans="1:17">
      <c r="A52" s="24"/>
      <c r="B52" s="6" t="s">
        <v>43</v>
      </c>
      <c r="C52" s="57">
        <v>124661.70000000001</v>
      </c>
      <c r="D52" s="57">
        <v>0</v>
      </c>
      <c r="E52" s="57">
        <v>2462.4</v>
      </c>
      <c r="F52" s="57">
        <v>0</v>
      </c>
      <c r="G52" s="57">
        <v>127124.1</v>
      </c>
      <c r="H52" s="57">
        <v>0</v>
      </c>
      <c r="I52" s="58">
        <v>127124.1</v>
      </c>
      <c r="J52" s="90"/>
      <c r="K52" s="90">
        <f>+C52-[1]AIF!C493</f>
        <v>0</v>
      </c>
      <c r="L52" s="90">
        <f>+D52-[1]AIF!D493</f>
        <v>0</v>
      </c>
      <c r="M52" s="90">
        <f>+E52-[1]AIF!E493</f>
        <v>0</v>
      </c>
      <c r="N52" s="90">
        <f>+F52-[1]AIF!F493</f>
        <v>0</v>
      </c>
      <c r="O52" s="90">
        <f>+G52-[1]AIF!G493</f>
        <v>0</v>
      </c>
      <c r="P52" s="90">
        <f>+H52-[1]AIF!H493</f>
        <v>0</v>
      </c>
      <c r="Q52" s="90">
        <f>+I52-[1]AIF!I493</f>
        <v>0</v>
      </c>
    </row>
    <row r="53" spans="1:17">
      <c r="A53" s="24"/>
      <c r="B53" s="6" t="s">
        <v>66</v>
      </c>
      <c r="C53" s="56">
        <v>0</v>
      </c>
      <c r="D53" s="56">
        <v>0</v>
      </c>
      <c r="E53" s="56">
        <v>0</v>
      </c>
      <c r="F53" s="56">
        <v>0</v>
      </c>
      <c r="G53" s="57">
        <v>0</v>
      </c>
      <c r="H53" s="56">
        <v>0</v>
      </c>
      <c r="I53" s="58">
        <v>0</v>
      </c>
      <c r="J53" s="90"/>
      <c r="K53" s="90">
        <f>+C53-[1]AIF!C494</f>
        <v>0</v>
      </c>
      <c r="L53" s="90">
        <f>+D53-[1]AIF!D494</f>
        <v>0</v>
      </c>
      <c r="M53" s="90">
        <f>+E53-[1]AIF!E494</f>
        <v>0</v>
      </c>
      <c r="N53" s="90">
        <f>+F53-[1]AIF!F494</f>
        <v>0</v>
      </c>
      <c r="O53" s="90">
        <f>+G53-[1]AIF!G494</f>
        <v>0</v>
      </c>
      <c r="P53" s="90">
        <f>+H53-[1]AIF!H494</f>
        <v>0</v>
      </c>
      <c r="Q53" s="90">
        <f>+I53-[1]AIF!I494</f>
        <v>0</v>
      </c>
    </row>
    <row r="54" spans="1:17">
      <c r="A54" s="24"/>
      <c r="B54" s="6" t="s">
        <v>44</v>
      </c>
      <c r="C54" s="56">
        <v>124661.70000000001</v>
      </c>
      <c r="D54" s="56">
        <v>0</v>
      </c>
      <c r="E54" s="56">
        <v>2462.4</v>
      </c>
      <c r="F54" s="56">
        <v>0</v>
      </c>
      <c r="G54" s="57">
        <v>127124.1</v>
      </c>
      <c r="H54" s="56">
        <v>0</v>
      </c>
      <c r="I54" s="58">
        <v>127124.1</v>
      </c>
      <c r="J54" s="90"/>
      <c r="K54" s="90">
        <f>+C54-[1]AIF!C495</f>
        <v>0</v>
      </c>
      <c r="L54" s="90">
        <f>+D54-[1]AIF!D495</f>
        <v>0</v>
      </c>
      <c r="M54" s="90">
        <f>+E54-[1]AIF!E495</f>
        <v>0</v>
      </c>
      <c r="N54" s="90">
        <f>+F54-[1]AIF!F495</f>
        <v>0</v>
      </c>
      <c r="O54" s="90">
        <f>+G54-[1]AIF!G495</f>
        <v>0</v>
      </c>
      <c r="P54" s="90">
        <f>+H54-[1]AIF!H495</f>
        <v>0</v>
      </c>
      <c r="Q54" s="90">
        <f>+I54-[1]AIF!I495</f>
        <v>0</v>
      </c>
    </row>
    <row r="55" spans="1:17" ht="7.5" customHeight="1">
      <c r="A55" s="24"/>
      <c r="B55" s="6"/>
      <c r="C55" s="57"/>
      <c r="D55" s="57"/>
      <c r="E55" s="57"/>
      <c r="F55" s="57"/>
      <c r="G55" s="57"/>
      <c r="H55" s="57"/>
      <c r="I55" s="58"/>
      <c r="J55" s="90"/>
      <c r="K55" s="90">
        <f>+C55-[1]AIF!C496</f>
        <v>0</v>
      </c>
      <c r="L55" s="90">
        <f>+D55-[1]AIF!D496</f>
        <v>0</v>
      </c>
      <c r="M55" s="90">
        <f>+E55-[1]AIF!E496</f>
        <v>0</v>
      </c>
      <c r="N55" s="90">
        <f>+F55-[1]AIF!F496</f>
        <v>0</v>
      </c>
      <c r="O55" s="90">
        <f>+G55-[1]AIF!G496</f>
        <v>0</v>
      </c>
      <c r="P55" s="90">
        <f>+H55-[1]AIF!H496</f>
        <v>0</v>
      </c>
      <c r="Q55" s="90">
        <f>+I55-[1]AIF!I496</f>
        <v>0</v>
      </c>
    </row>
    <row r="56" spans="1:17" ht="11.25" customHeight="1">
      <c r="A56" s="36" t="s">
        <v>45</v>
      </c>
      <c r="B56" s="37" t="s">
        <v>67</v>
      </c>
      <c r="C56" s="54">
        <v>40023644.600000001</v>
      </c>
      <c r="D56" s="54">
        <v>3925868.6</v>
      </c>
      <c r="E56" s="54">
        <v>2223356.3000000003</v>
      </c>
      <c r="F56" s="54">
        <v>53653893.599999994</v>
      </c>
      <c r="G56" s="54">
        <v>99826763.099999994</v>
      </c>
      <c r="H56" s="54">
        <v>12548704</v>
      </c>
      <c r="I56" s="55">
        <v>112375467.09999999</v>
      </c>
      <c r="J56" s="90"/>
      <c r="K56" s="90">
        <f>+C56-[1]AIF!C497</f>
        <v>0</v>
      </c>
      <c r="L56" s="90">
        <f>+D56-[1]AIF!D497</f>
        <v>0</v>
      </c>
      <c r="M56" s="90">
        <f>+E56-[1]AIF!E497</f>
        <v>0</v>
      </c>
      <c r="N56" s="90">
        <f>+F56-[1]AIF!F497</f>
        <v>0</v>
      </c>
      <c r="O56" s="90">
        <f>+G56-[1]AIF!G497</f>
        <v>0</v>
      </c>
      <c r="P56" s="90">
        <f>+H56-[1]AIF!H497</f>
        <v>0</v>
      </c>
      <c r="Q56" s="90">
        <f>+I56-[1]AIF!I497</f>
        <v>0</v>
      </c>
    </row>
    <row r="57" spans="1:17" ht="11.25" customHeight="1">
      <c r="A57" s="36" t="s">
        <v>46</v>
      </c>
      <c r="B57" s="37" t="s">
        <v>68</v>
      </c>
      <c r="C57" s="54">
        <v>30583327.700000003</v>
      </c>
      <c r="D57" s="54">
        <v>5742375.7999999998</v>
      </c>
      <c r="E57" s="54">
        <v>2842814.9</v>
      </c>
      <c r="F57" s="54">
        <v>55833842.399999991</v>
      </c>
      <c r="G57" s="54">
        <v>95002360.799999982</v>
      </c>
      <c r="H57" s="54">
        <v>15036486.5</v>
      </c>
      <c r="I57" s="55">
        <v>110038847.29999998</v>
      </c>
      <c r="J57" s="90"/>
      <c r="K57" s="90">
        <f>+C57-[1]AIF!C498</f>
        <v>0</v>
      </c>
      <c r="L57" s="90">
        <f>+D57-[1]AIF!D498</f>
        <v>0</v>
      </c>
      <c r="M57" s="90">
        <f>+E57-[1]AIF!E498</f>
        <v>0</v>
      </c>
      <c r="N57" s="90">
        <f>+F57-[1]AIF!F498</f>
        <v>0</v>
      </c>
      <c r="O57" s="90">
        <f>+G57-[1]AIF!G498</f>
        <v>0</v>
      </c>
      <c r="P57" s="90">
        <f>+H57-[1]AIF!H498</f>
        <v>0</v>
      </c>
      <c r="Q57" s="90">
        <f>+I57-[1]AIF!I498</f>
        <v>0</v>
      </c>
    </row>
    <row r="58" spans="1:17" ht="11.25" customHeight="1">
      <c r="A58" s="36" t="s">
        <v>47</v>
      </c>
      <c r="B58" s="37" t="s">
        <v>69</v>
      </c>
      <c r="C58" s="54">
        <v>9440316.8999999985</v>
      </c>
      <c r="D58" s="54">
        <v>-1816507.1999999997</v>
      </c>
      <c r="E58" s="54">
        <v>-619458.59999999963</v>
      </c>
      <c r="F58" s="54">
        <v>-2179948.799999997</v>
      </c>
      <c r="G58" s="54">
        <v>4824402.3000000026</v>
      </c>
      <c r="H58" s="54">
        <v>-2487782.5</v>
      </c>
      <c r="I58" s="55">
        <v>2336619.8000000026</v>
      </c>
      <c r="J58" s="90"/>
      <c r="K58" s="90">
        <f>+C58-[1]AIF!C499</f>
        <v>0</v>
      </c>
      <c r="L58" s="90">
        <f>+D58-[1]AIF!D499</f>
        <v>0</v>
      </c>
      <c r="M58" s="90">
        <f>+E58-[1]AIF!E499</f>
        <v>0</v>
      </c>
      <c r="N58" s="90">
        <f>+F58-[1]AIF!F499</f>
        <v>0</v>
      </c>
      <c r="O58" s="90">
        <f>+G58-[1]AIF!G499</f>
        <v>0</v>
      </c>
      <c r="P58" s="90">
        <f>+H58-[1]AIF!H499</f>
        <v>0</v>
      </c>
      <c r="Q58" s="90">
        <f>+I58-[1]AIF!I499</f>
        <v>0</v>
      </c>
    </row>
    <row r="59" spans="1:17" ht="5.25" customHeight="1">
      <c r="A59" s="36"/>
      <c r="B59" s="37"/>
      <c r="C59" s="54"/>
      <c r="D59" s="54"/>
      <c r="E59" s="54"/>
      <c r="F59" s="54"/>
      <c r="G59" s="54"/>
      <c r="H59" s="54"/>
      <c r="I59" s="55"/>
      <c r="J59" s="90"/>
      <c r="K59" s="90">
        <f>+C59-[1]AIF!C500</f>
        <v>0</v>
      </c>
      <c r="L59" s="90">
        <f>+D59-[1]AIF!D500</f>
        <v>0</v>
      </c>
      <c r="M59" s="90">
        <f>+E59-[1]AIF!E500</f>
        <v>0</v>
      </c>
      <c r="N59" s="90">
        <f>+F59-[1]AIF!F500</f>
        <v>0</v>
      </c>
      <c r="O59" s="90">
        <f>+G59-[1]AIF!G500</f>
        <v>0</v>
      </c>
      <c r="P59" s="90">
        <f>+H59-[1]AIF!H500</f>
        <v>0</v>
      </c>
      <c r="Q59" s="90">
        <f>+I59-[1]AIF!I500</f>
        <v>0</v>
      </c>
    </row>
    <row r="60" spans="1:17" ht="11.25" customHeight="1">
      <c r="A60" s="36" t="s">
        <v>48</v>
      </c>
      <c r="B60" s="37" t="s">
        <v>49</v>
      </c>
      <c r="C60" s="54">
        <v>112500</v>
      </c>
      <c r="D60" s="54">
        <v>3378847.5</v>
      </c>
      <c r="E60" s="54">
        <v>1793022.9000000001</v>
      </c>
      <c r="F60" s="54">
        <v>10494902.199999999</v>
      </c>
      <c r="G60" s="54">
        <v>15779272.6</v>
      </c>
      <c r="H60" s="54">
        <v>5507756.5999999996</v>
      </c>
      <c r="I60" s="55">
        <v>21287029.199999999</v>
      </c>
      <c r="J60" s="90"/>
      <c r="K60" s="90">
        <f>+C60-[1]AIF!C501</f>
        <v>0</v>
      </c>
      <c r="L60" s="90">
        <f>+D60-[1]AIF!D501</f>
        <v>0</v>
      </c>
      <c r="M60" s="90">
        <f>+E60-[1]AIF!E501</f>
        <v>0</v>
      </c>
      <c r="N60" s="90">
        <f>+F60-[1]AIF!F501</f>
        <v>0</v>
      </c>
      <c r="O60" s="90">
        <f>+G60-[1]AIF!G501</f>
        <v>0</v>
      </c>
      <c r="P60" s="90">
        <f>+H60-[1]AIF!H501</f>
        <v>0</v>
      </c>
      <c r="Q60" s="90">
        <f>+I60-[1]AIF!I501</f>
        <v>0</v>
      </c>
    </row>
    <row r="61" spans="1:17">
      <c r="A61" s="24"/>
      <c r="B61" s="6" t="s">
        <v>50</v>
      </c>
      <c r="C61" s="56">
        <v>0</v>
      </c>
      <c r="D61" s="56">
        <v>0</v>
      </c>
      <c r="E61" s="56">
        <v>1627992.7000000002</v>
      </c>
      <c r="F61" s="56">
        <v>8400000</v>
      </c>
      <c r="G61" s="57">
        <v>10027992.699999999</v>
      </c>
      <c r="H61" s="56">
        <v>3668663.8</v>
      </c>
      <c r="I61" s="58">
        <v>13696656.5</v>
      </c>
      <c r="J61" s="90"/>
      <c r="K61" s="90">
        <f>+C61-[1]AIF!C502</f>
        <v>0</v>
      </c>
      <c r="L61" s="90">
        <f>+D61-[1]AIF!D502</f>
        <v>0</v>
      </c>
      <c r="M61" s="90">
        <f>+E61-[1]AIF!E502</f>
        <v>0</v>
      </c>
      <c r="N61" s="90">
        <f>+F61-[1]AIF!F502</f>
        <v>0</v>
      </c>
      <c r="O61" s="90">
        <f>+G61-[1]AIF!G502</f>
        <v>0</v>
      </c>
      <c r="P61" s="90">
        <f>+H61-[1]AIF!H502</f>
        <v>0</v>
      </c>
      <c r="Q61" s="90">
        <f>+I61-[1]AIF!I502</f>
        <v>0</v>
      </c>
    </row>
    <row r="62" spans="1:17">
      <c r="A62" s="24"/>
      <c r="B62" s="6" t="s">
        <v>51</v>
      </c>
      <c r="C62" s="56">
        <v>25000</v>
      </c>
      <c r="D62" s="56">
        <v>8663.2999999999993</v>
      </c>
      <c r="E62" s="56">
        <v>20750.5</v>
      </c>
      <c r="F62" s="56">
        <v>0</v>
      </c>
      <c r="G62" s="57">
        <v>54413.8</v>
      </c>
      <c r="H62" s="56">
        <v>108850.79999999999</v>
      </c>
      <c r="I62" s="58">
        <v>163264.59999999998</v>
      </c>
      <c r="J62" s="90"/>
      <c r="K62" s="90">
        <f>+C62-[1]AIF!C503</f>
        <v>0</v>
      </c>
      <c r="L62" s="90">
        <f>+D62-[1]AIF!D503</f>
        <v>0</v>
      </c>
      <c r="M62" s="90">
        <f>+E62-[1]AIF!E503</f>
        <v>0</v>
      </c>
      <c r="N62" s="90">
        <f>+F62-[1]AIF!F503</f>
        <v>0</v>
      </c>
      <c r="O62" s="90">
        <f>+G62-[1]AIF!G503</f>
        <v>0</v>
      </c>
      <c r="P62" s="90">
        <f>+H62-[1]AIF!H503</f>
        <v>0</v>
      </c>
      <c r="Q62" s="90">
        <f>+I62-[1]AIF!I503</f>
        <v>0</v>
      </c>
    </row>
    <row r="63" spans="1:17">
      <c r="A63" s="24"/>
      <c r="B63" s="6" t="s">
        <v>52</v>
      </c>
      <c r="C63" s="56">
        <v>87500</v>
      </c>
      <c r="D63" s="56">
        <v>2374.3000000000002</v>
      </c>
      <c r="E63" s="56">
        <v>99</v>
      </c>
      <c r="F63" s="56">
        <v>0</v>
      </c>
      <c r="G63" s="57">
        <v>89973.3</v>
      </c>
      <c r="H63" s="56">
        <v>3.8</v>
      </c>
      <c r="I63" s="58">
        <v>89977.1</v>
      </c>
      <c r="J63" s="90"/>
      <c r="K63" s="90">
        <f>+C63-[1]AIF!C504</f>
        <v>0</v>
      </c>
      <c r="L63" s="90">
        <f>+D63-[1]AIF!D504</f>
        <v>0</v>
      </c>
      <c r="M63" s="90">
        <f>+E63-[1]AIF!E504</f>
        <v>0</v>
      </c>
      <c r="N63" s="90">
        <f>+F63-[1]AIF!F504</f>
        <v>0</v>
      </c>
      <c r="O63" s="90">
        <f>+G63-[1]AIF!G504</f>
        <v>0</v>
      </c>
      <c r="P63" s="90">
        <f>+H63-[1]AIF!H504</f>
        <v>0</v>
      </c>
      <c r="Q63" s="90">
        <f>+I63-[1]AIF!I504</f>
        <v>0</v>
      </c>
    </row>
    <row r="64" spans="1:17">
      <c r="A64" s="24"/>
      <c r="B64" s="6" t="s">
        <v>53</v>
      </c>
      <c r="C64" s="56">
        <v>0</v>
      </c>
      <c r="D64" s="56">
        <v>3367809.9</v>
      </c>
      <c r="E64" s="56">
        <v>0</v>
      </c>
      <c r="F64" s="56">
        <v>2094902.2000000002</v>
      </c>
      <c r="G64" s="57">
        <v>5462712.0999999996</v>
      </c>
      <c r="H64" s="56">
        <v>1677646.4999999998</v>
      </c>
      <c r="I64" s="58">
        <v>7140358.5999999996</v>
      </c>
      <c r="J64" s="90"/>
      <c r="K64" s="90">
        <f>+C64-[1]AIF!C505</f>
        <v>0</v>
      </c>
      <c r="L64" s="90">
        <f>+D64-[1]AIF!D505</f>
        <v>0</v>
      </c>
      <c r="M64" s="90">
        <f>+E64-[1]AIF!E505</f>
        <v>0</v>
      </c>
      <c r="N64" s="90">
        <f>+F64-[1]AIF!F505</f>
        <v>0</v>
      </c>
      <c r="O64" s="90">
        <f>+G64-[1]AIF!G505</f>
        <v>0</v>
      </c>
      <c r="P64" s="90">
        <f>+H64-[1]AIF!H505</f>
        <v>0</v>
      </c>
      <c r="Q64" s="90">
        <f>+I64-[1]AIF!I505</f>
        <v>0</v>
      </c>
    </row>
    <row r="65" spans="1:17">
      <c r="A65" s="24"/>
      <c r="B65" s="6" t="s">
        <v>63</v>
      </c>
      <c r="C65" s="56">
        <v>0</v>
      </c>
      <c r="D65" s="56">
        <v>0</v>
      </c>
      <c r="E65" s="56">
        <v>144180.70000000001</v>
      </c>
      <c r="F65" s="56">
        <v>0</v>
      </c>
      <c r="G65" s="57">
        <v>144180.70000000001</v>
      </c>
      <c r="H65" s="56">
        <v>52591.7</v>
      </c>
      <c r="I65" s="58">
        <v>196772.40000000002</v>
      </c>
      <c r="J65" s="90"/>
      <c r="K65" s="90">
        <f>+C65-[1]AIF!C506</f>
        <v>0</v>
      </c>
      <c r="L65" s="90">
        <f>+D65-[1]AIF!D506</f>
        <v>0</v>
      </c>
      <c r="M65" s="90">
        <f>+E65-[1]AIF!E506</f>
        <v>0</v>
      </c>
      <c r="N65" s="90">
        <f>+F65-[1]AIF!F506</f>
        <v>0</v>
      </c>
      <c r="O65" s="90">
        <f>+G65-[1]AIF!G506</f>
        <v>0</v>
      </c>
      <c r="P65" s="90">
        <f>+H65-[1]AIF!H506</f>
        <v>0</v>
      </c>
      <c r="Q65" s="90">
        <f>+I65-[1]AIF!I506</f>
        <v>0</v>
      </c>
    </row>
    <row r="66" spans="1:17">
      <c r="A66" s="36" t="s">
        <v>54</v>
      </c>
      <c r="B66" s="37" t="s">
        <v>55</v>
      </c>
      <c r="C66" s="54">
        <v>13696656.5</v>
      </c>
      <c r="D66" s="54">
        <v>163264.59999999998</v>
      </c>
      <c r="E66" s="54">
        <v>89977.1</v>
      </c>
      <c r="F66" s="54">
        <v>7140358.5999999996</v>
      </c>
      <c r="G66" s="54">
        <v>21090256.799999997</v>
      </c>
      <c r="H66" s="54">
        <v>196772.40000000002</v>
      </c>
      <c r="I66" s="55">
        <v>21287029.199999996</v>
      </c>
      <c r="J66" s="90"/>
      <c r="K66" s="90">
        <f>+C66-[1]AIF!C507</f>
        <v>0</v>
      </c>
      <c r="L66" s="90">
        <f>+D66-[1]AIF!D507</f>
        <v>0</v>
      </c>
      <c r="M66" s="90">
        <f>+E66-[1]AIF!E507</f>
        <v>0</v>
      </c>
      <c r="N66" s="90">
        <f>+F66-[1]AIF!F507</f>
        <v>0</v>
      </c>
      <c r="O66" s="90">
        <f>+G66-[1]AIF!G507</f>
        <v>0</v>
      </c>
      <c r="P66" s="90">
        <f>+H66-[1]AIF!H507</f>
        <v>0</v>
      </c>
      <c r="Q66" s="90">
        <f>+I66-[1]AIF!I507</f>
        <v>0</v>
      </c>
    </row>
    <row r="67" spans="1:17" ht="11.25" customHeight="1">
      <c r="A67" s="36"/>
      <c r="B67" s="37"/>
      <c r="C67" s="54"/>
      <c r="D67" s="54"/>
      <c r="E67" s="54"/>
      <c r="F67" s="60"/>
      <c r="G67" s="54"/>
      <c r="H67" s="54"/>
      <c r="I67" s="55"/>
      <c r="J67" s="90"/>
      <c r="K67" s="90">
        <f>+C67-[1]AIF!C508</f>
        <v>0</v>
      </c>
      <c r="L67" s="90">
        <f>+D67-[1]AIF!D508</f>
        <v>0</v>
      </c>
      <c r="M67" s="90">
        <f>+E67-[1]AIF!E508</f>
        <v>0</v>
      </c>
      <c r="N67" s="90">
        <f>+F67-[1]AIF!F508</f>
        <v>0</v>
      </c>
      <c r="O67" s="90">
        <f>+G67-[1]AIF!G508</f>
        <v>0</v>
      </c>
      <c r="P67" s="90">
        <f>+H67-[1]AIF!H508</f>
        <v>0</v>
      </c>
      <c r="Q67" s="90">
        <f>+I67-[1]AIF!I508</f>
        <v>0</v>
      </c>
    </row>
    <row r="68" spans="1:17" ht="12" customHeight="1">
      <c r="A68" s="36" t="s">
        <v>56</v>
      </c>
      <c r="B68" s="37" t="s">
        <v>64</v>
      </c>
      <c r="C68" s="54">
        <v>40136144.600000001</v>
      </c>
      <c r="D68" s="54">
        <v>7304716.0999999996</v>
      </c>
      <c r="E68" s="54">
        <v>4016379.2</v>
      </c>
      <c r="F68" s="54">
        <v>64148795.799999997</v>
      </c>
      <c r="G68" s="54">
        <v>115606035.7</v>
      </c>
      <c r="H68" s="54">
        <v>18056460.600000001</v>
      </c>
      <c r="I68" s="55">
        <v>133662496.30000001</v>
      </c>
      <c r="J68" s="90"/>
      <c r="K68" s="90">
        <f>+C68-[1]AIF!C509</f>
        <v>0</v>
      </c>
      <c r="L68" s="90">
        <f>+D68-[1]AIF!D509</f>
        <v>0</v>
      </c>
      <c r="M68" s="90">
        <f>+E68-[1]AIF!E509</f>
        <v>0</v>
      </c>
      <c r="N68" s="90">
        <f>+F68-[1]AIF!F509</f>
        <v>0</v>
      </c>
      <c r="O68" s="90">
        <f>+G68-[1]AIF!G509</f>
        <v>0</v>
      </c>
      <c r="P68" s="90">
        <f>+H68-[1]AIF!H509</f>
        <v>0</v>
      </c>
      <c r="Q68" s="90">
        <f>+I68-[1]AIF!I509</f>
        <v>0</v>
      </c>
    </row>
    <row r="69" spans="1:17" ht="12" customHeight="1">
      <c r="A69" s="36" t="s">
        <v>57</v>
      </c>
      <c r="B69" s="37" t="s">
        <v>70</v>
      </c>
      <c r="C69" s="54">
        <v>34360652.5</v>
      </c>
      <c r="D69" s="54">
        <v>5905640.3999999994</v>
      </c>
      <c r="E69" s="54">
        <v>2931730.9</v>
      </c>
      <c r="F69" s="54">
        <v>62974200.999999993</v>
      </c>
      <c r="G69" s="54">
        <v>106172224.79999998</v>
      </c>
      <c r="H69" s="54">
        <v>15212587.800000001</v>
      </c>
      <c r="I69" s="55">
        <v>121384812.59999998</v>
      </c>
      <c r="J69" s="90"/>
      <c r="K69" s="90">
        <f>+C69-[1]AIF!C510</f>
        <v>0</v>
      </c>
      <c r="L69" s="90">
        <f>+D69-[1]AIF!D510</f>
        <v>0</v>
      </c>
      <c r="M69" s="90">
        <f>+E69-[1]AIF!E510</f>
        <v>0</v>
      </c>
      <c r="N69" s="90">
        <f>+F69-[1]AIF!F510</f>
        <v>0</v>
      </c>
      <c r="O69" s="90">
        <f>+G69-[1]AIF!G510</f>
        <v>0</v>
      </c>
      <c r="P69" s="90">
        <f>+H69-[1]AIF!H510</f>
        <v>0</v>
      </c>
      <c r="Q69" s="90">
        <f>+I69-[1]AIF!I510</f>
        <v>0</v>
      </c>
    </row>
    <row r="70" spans="1:17" ht="15" customHeight="1" thickBot="1">
      <c r="A70" s="36" t="s">
        <v>58</v>
      </c>
      <c r="B70" s="37" t="s">
        <v>71</v>
      </c>
      <c r="C70" s="54">
        <v>44279984.200000003</v>
      </c>
      <c r="D70" s="54">
        <v>5905640.3999999994</v>
      </c>
      <c r="E70" s="54">
        <v>2932792</v>
      </c>
      <c r="F70" s="54">
        <v>62974200.999999993</v>
      </c>
      <c r="G70" s="54">
        <v>116092617.59999999</v>
      </c>
      <c r="H70" s="54">
        <v>15233258.9</v>
      </c>
      <c r="I70" s="55">
        <v>131325876.5</v>
      </c>
      <c r="J70" s="90"/>
      <c r="K70" s="90">
        <f>+C70-[1]AIF!C511</f>
        <v>0</v>
      </c>
      <c r="L70" s="90">
        <f>+D70-[1]AIF!D511</f>
        <v>0</v>
      </c>
      <c r="M70" s="90">
        <f>+E70-[1]AIF!E511</f>
        <v>0</v>
      </c>
      <c r="N70" s="90">
        <f>+F70-[1]AIF!F511</f>
        <v>0</v>
      </c>
      <c r="O70" s="90">
        <f>+G70-[1]AIF!G511</f>
        <v>0</v>
      </c>
      <c r="P70" s="90">
        <f>+H70-[1]AIF!H511</f>
        <v>0</v>
      </c>
      <c r="Q70" s="90">
        <f>+I70-[1]AIF!I511</f>
        <v>0</v>
      </c>
    </row>
    <row r="71" spans="1:17" ht="17.25" customHeight="1">
      <c r="A71" s="39" t="s">
        <v>59</v>
      </c>
      <c r="B71" s="69" t="s">
        <v>85</v>
      </c>
      <c r="C71" s="61">
        <v>5775492.1000000015</v>
      </c>
      <c r="D71" s="61">
        <v>1399075.7000000002</v>
      </c>
      <c r="E71" s="61">
        <v>1084648.3000000003</v>
      </c>
      <c r="F71" s="61">
        <v>1174594.8000000045</v>
      </c>
      <c r="G71" s="61">
        <v>9433810.900000006</v>
      </c>
      <c r="H71" s="61">
        <v>2843872.8000000007</v>
      </c>
      <c r="I71" s="62">
        <v>12277683.700000007</v>
      </c>
      <c r="J71" s="90"/>
      <c r="K71" s="90">
        <f>+C71-[1]AIF!C512</f>
        <v>0</v>
      </c>
      <c r="L71" s="90">
        <f>+D71-[1]AIF!D512</f>
        <v>0</v>
      </c>
      <c r="M71" s="90">
        <f>+E71-[1]AIF!E512</f>
        <v>0</v>
      </c>
      <c r="N71" s="90">
        <f>+F71-[1]AIF!F512</f>
        <v>0</v>
      </c>
      <c r="O71" s="90">
        <f>+G71-[1]AIF!G512</f>
        <v>0</v>
      </c>
      <c r="P71" s="90">
        <f>+H71-[1]AIF!H512</f>
        <v>0</v>
      </c>
      <c r="Q71" s="90">
        <f>+I71-[1]AIF!I512</f>
        <v>0</v>
      </c>
    </row>
    <row r="72" spans="1:17" ht="17.25" customHeight="1" thickBot="1">
      <c r="A72" s="40" t="s">
        <v>60</v>
      </c>
      <c r="B72" s="86" t="s">
        <v>76</v>
      </c>
      <c r="C72" s="63">
        <v>-4143839.6000000015</v>
      </c>
      <c r="D72" s="63">
        <v>1399075.7000000002</v>
      </c>
      <c r="E72" s="63">
        <v>1083587.2000000002</v>
      </c>
      <c r="F72" s="63">
        <v>1174594.8000000045</v>
      </c>
      <c r="G72" s="63">
        <v>-486581.89999999665</v>
      </c>
      <c r="H72" s="63">
        <v>2823201.7000000011</v>
      </c>
      <c r="I72" s="64">
        <v>2336619.8000000045</v>
      </c>
      <c r="J72" s="90"/>
      <c r="K72" s="90">
        <f>+C72-[1]AIF!C513</f>
        <v>0</v>
      </c>
      <c r="L72" s="90">
        <f>+D72-[1]AIF!D513</f>
        <v>0</v>
      </c>
      <c r="M72" s="90">
        <f>+E72-[1]AIF!E513</f>
        <v>0</v>
      </c>
      <c r="N72" s="90">
        <f>+F72-[1]AIF!F513</f>
        <v>0</v>
      </c>
      <c r="O72" s="90">
        <f>+G72-[1]AIF!G513</f>
        <v>0</v>
      </c>
      <c r="P72" s="90">
        <f>+H72-[1]AIF!H513</f>
        <v>0</v>
      </c>
      <c r="Q72" s="90">
        <f>+I72-[1]AIF!I513</f>
        <v>0</v>
      </c>
    </row>
    <row r="73" spans="1:17" ht="4.5" customHeight="1">
      <c r="A73" s="42"/>
      <c r="C73" s="65"/>
      <c r="D73" s="65"/>
      <c r="E73" s="65"/>
      <c r="F73" s="65"/>
      <c r="G73" s="65"/>
      <c r="H73" s="65"/>
      <c r="I73" s="66"/>
      <c r="J73" s="90"/>
      <c r="K73" s="90">
        <f>+C73-[1]AIF!C514</f>
        <v>0</v>
      </c>
      <c r="L73" s="90">
        <f>+D73-[1]AIF!D514</f>
        <v>0</v>
      </c>
      <c r="M73" s="90">
        <f>+E73-[1]AIF!E514</f>
        <v>0</v>
      </c>
      <c r="N73" s="90">
        <f>+F73-[1]AIF!F514</f>
        <v>0</v>
      </c>
      <c r="O73" s="90">
        <f>+G73-[1]AIF!G514</f>
        <v>0</v>
      </c>
      <c r="P73" s="90">
        <f>+H73-[1]AIF!H514</f>
        <v>0</v>
      </c>
      <c r="Q73" s="90">
        <f>+I73-[1]AIF!I514</f>
        <v>0</v>
      </c>
    </row>
    <row r="74" spans="1:17" ht="13.5" customHeight="1">
      <c r="A74" s="43"/>
      <c r="B74" s="44" t="s">
        <v>77</v>
      </c>
      <c r="C74" s="56">
        <v>24400000</v>
      </c>
      <c r="D74" s="56">
        <v>0</v>
      </c>
      <c r="E74" s="56">
        <v>0</v>
      </c>
      <c r="F74" s="56">
        <v>0</v>
      </c>
      <c r="G74" s="57">
        <v>24400000</v>
      </c>
      <c r="H74" s="56">
        <v>0</v>
      </c>
      <c r="I74" s="58">
        <v>24400000</v>
      </c>
      <c r="J74" s="90"/>
      <c r="K74" s="90">
        <f>+C74-[1]AIF!C515</f>
        <v>0</v>
      </c>
      <c r="L74" s="90">
        <f>+D74-[1]AIF!D515</f>
        <v>0</v>
      </c>
      <c r="M74" s="90">
        <f>+E74-[1]AIF!E515</f>
        <v>0</v>
      </c>
      <c r="N74" s="90">
        <f>+F74-[1]AIF!F515</f>
        <v>0</v>
      </c>
      <c r="O74" s="90">
        <f>+G74-[1]AIF!G515</f>
        <v>0</v>
      </c>
      <c r="P74" s="90">
        <f>+H74-[1]AIF!H515</f>
        <v>0</v>
      </c>
      <c r="Q74" s="90">
        <f>+I74-[1]AIF!I515</f>
        <v>0</v>
      </c>
    </row>
    <row r="75" spans="1:17">
      <c r="A75" s="43"/>
      <c r="B75" s="44" t="s">
        <v>78</v>
      </c>
      <c r="C75" s="56">
        <v>0</v>
      </c>
      <c r="D75" s="56">
        <v>0</v>
      </c>
      <c r="E75" s="56">
        <v>4871.6000000000004</v>
      </c>
      <c r="F75" s="56">
        <v>2148548.7999999998</v>
      </c>
      <c r="G75" s="57">
        <v>2153420.4</v>
      </c>
      <c r="H75" s="56">
        <v>102.2</v>
      </c>
      <c r="I75" s="58">
        <v>2153522.6</v>
      </c>
      <c r="J75" s="90"/>
      <c r="K75" s="90">
        <f>+C75-[1]AIF!C516</f>
        <v>0</v>
      </c>
      <c r="L75" s="90">
        <f>+D75-[1]AIF!D516</f>
        <v>0</v>
      </c>
      <c r="M75" s="90">
        <f>+E75-[1]AIF!E516</f>
        <v>0</v>
      </c>
      <c r="N75" s="90">
        <f>+F75-[1]AIF!F516</f>
        <v>0</v>
      </c>
      <c r="O75" s="90">
        <f>+G75-[1]AIF!G516</f>
        <v>0</v>
      </c>
      <c r="P75" s="90">
        <f>+H75-[1]AIF!H516</f>
        <v>0</v>
      </c>
      <c r="Q75" s="90">
        <f>+I75-[1]AIF!I516</f>
        <v>0</v>
      </c>
    </row>
    <row r="76" spans="1:17">
      <c r="A76" s="43"/>
      <c r="B76" s="44" t="s">
        <v>79</v>
      </c>
      <c r="C76" s="56">
        <v>2150339.6999999997</v>
      </c>
      <c r="D76" s="56">
        <v>0</v>
      </c>
      <c r="E76" s="56">
        <v>0</v>
      </c>
      <c r="F76" s="56">
        <v>0</v>
      </c>
      <c r="G76" s="57">
        <v>2150339.6999999997</v>
      </c>
      <c r="H76" s="56">
        <v>3182.8999999999996</v>
      </c>
      <c r="I76" s="58">
        <v>2153522.5999999996</v>
      </c>
      <c r="J76" s="90"/>
      <c r="K76" s="90">
        <f>+C76-[1]AIF!C517</f>
        <v>0</v>
      </c>
      <c r="L76" s="90">
        <f>+D76-[1]AIF!D517</f>
        <v>0</v>
      </c>
      <c r="M76" s="90">
        <f>+E76-[1]AIF!E517</f>
        <v>0</v>
      </c>
      <c r="N76" s="90">
        <f>+F76-[1]AIF!F517</f>
        <v>0</v>
      </c>
      <c r="O76" s="90">
        <f>+G76-[1]AIF!G517</f>
        <v>0</v>
      </c>
      <c r="P76" s="90">
        <f>+H76-[1]AIF!H517</f>
        <v>0</v>
      </c>
      <c r="Q76" s="90">
        <f>+I76-[1]AIF!I517</f>
        <v>0</v>
      </c>
    </row>
    <row r="77" spans="1:17" ht="4.5" customHeight="1" thickBot="1">
      <c r="A77" s="87"/>
      <c r="B77" s="46"/>
      <c r="C77" s="47"/>
      <c r="D77" s="47"/>
      <c r="E77" s="47"/>
      <c r="F77" s="47"/>
      <c r="G77" s="47"/>
      <c r="H77" s="47"/>
      <c r="I77" s="48"/>
    </row>
    <row r="78" spans="1:17" ht="6" customHeight="1">
      <c r="A78" s="6"/>
      <c r="B78" s="49"/>
      <c r="C78" s="7"/>
      <c r="D78" s="7"/>
      <c r="E78" s="7"/>
      <c r="F78" s="7"/>
      <c r="G78" s="7"/>
      <c r="H78" s="7"/>
      <c r="I78" s="7"/>
    </row>
    <row r="79" spans="1:17" s="50" customFormat="1" ht="12" customHeight="1">
      <c r="A79" s="52" t="s">
        <v>82</v>
      </c>
      <c r="B79" s="52"/>
      <c r="C79" s="52"/>
      <c r="D79" s="52"/>
      <c r="E79" s="52"/>
      <c r="F79" s="52"/>
      <c r="G79" s="52"/>
      <c r="H79" s="52"/>
      <c r="I79" s="52"/>
    </row>
    <row r="80" spans="1:17" s="50" customFormat="1" ht="12" customHeight="1">
      <c r="A80" s="52"/>
      <c r="B80" s="93" t="s">
        <v>95</v>
      </c>
      <c r="C80" s="93"/>
      <c r="D80" s="93"/>
      <c r="E80" s="93"/>
      <c r="F80" s="93"/>
      <c r="G80" s="93"/>
      <c r="H80" s="93"/>
      <c r="I80" s="93"/>
    </row>
    <row r="81" spans="1:9" s="50" customFormat="1" ht="12" customHeight="1">
      <c r="A81" s="52"/>
      <c r="B81" s="93" t="s">
        <v>103</v>
      </c>
      <c r="C81" s="93"/>
      <c r="D81" s="93"/>
      <c r="E81" s="93"/>
      <c r="F81" s="93"/>
      <c r="G81" s="93"/>
      <c r="H81" s="93"/>
      <c r="I81" s="93"/>
    </row>
    <row r="82" spans="1:9" s="50" customFormat="1" ht="12.75" customHeight="1">
      <c r="A82" s="53"/>
      <c r="B82" s="94" t="s">
        <v>104</v>
      </c>
      <c r="C82" s="94"/>
      <c r="D82" s="94"/>
      <c r="E82" s="94"/>
      <c r="F82" s="94"/>
      <c r="G82" s="94"/>
      <c r="H82" s="94"/>
      <c r="I82" s="94"/>
    </row>
    <row r="83" spans="1:9" s="50" customFormat="1">
      <c r="A83" s="88" t="s">
        <v>105</v>
      </c>
      <c r="B83" s="52"/>
      <c r="C83" s="52"/>
      <c r="D83" s="52"/>
      <c r="E83" s="52"/>
      <c r="F83" s="52"/>
      <c r="G83" s="52"/>
      <c r="H83" s="52"/>
      <c r="I83" s="52"/>
    </row>
    <row r="84" spans="1:9">
      <c r="A84" s="92" t="s">
        <v>88</v>
      </c>
      <c r="B84" s="92"/>
      <c r="C84" s="92"/>
      <c r="D84" s="92"/>
      <c r="E84" s="92"/>
      <c r="F84" s="92"/>
      <c r="G84" s="92"/>
      <c r="H84" s="92"/>
      <c r="I84" s="92"/>
    </row>
    <row r="85" spans="1:9">
      <c r="A85" s="92" t="s">
        <v>92</v>
      </c>
      <c r="B85" s="92"/>
      <c r="C85" s="92"/>
      <c r="D85" s="92"/>
      <c r="E85" s="92"/>
      <c r="F85" s="92"/>
      <c r="G85" s="92"/>
      <c r="H85" s="92"/>
      <c r="I85" s="92"/>
    </row>
    <row r="86" spans="1:9">
      <c r="A86" s="92" t="s">
        <v>90</v>
      </c>
      <c r="B86" s="92"/>
      <c r="C86" s="92"/>
      <c r="D86" s="92"/>
      <c r="E86" s="92"/>
      <c r="F86" s="92"/>
      <c r="G86" s="92"/>
      <c r="H86" s="92"/>
      <c r="I86" s="92"/>
    </row>
    <row r="87" spans="1:9">
      <c r="C87" s="89">
        <f>+C12-C23+C45-C47+C60-C66-C72</f>
        <v>0</v>
      </c>
      <c r="D87" s="89">
        <f t="shared" ref="D87:I87" si="0">+D12-D23+D45-D47+D60-D66-D72</f>
        <v>0</v>
      </c>
      <c r="E87" s="89">
        <f t="shared" si="0"/>
        <v>0</v>
      </c>
      <c r="F87" s="89">
        <f t="shared" si="0"/>
        <v>-4.6566128730773926E-9</v>
      </c>
      <c r="G87" s="89">
        <f t="shared" si="0"/>
        <v>-9.3132257461547852E-9</v>
      </c>
      <c r="H87" s="89">
        <f t="shared" si="0"/>
        <v>0</v>
      </c>
      <c r="I87" s="89">
        <f t="shared" si="0"/>
        <v>-7.4505805969238281E-9</v>
      </c>
    </row>
    <row r="88" spans="1:9">
      <c r="C88" s="97">
        <f>+C71-C72-C29</f>
        <v>0</v>
      </c>
      <c r="D88" s="97">
        <f t="shared" ref="D88:I88" si="1">+D71-D72-D29</f>
        <v>0</v>
      </c>
      <c r="E88" s="97">
        <f t="shared" si="1"/>
        <v>9.3223206931725144E-11</v>
      </c>
      <c r="F88" s="97">
        <f t="shared" si="1"/>
        <v>0</v>
      </c>
      <c r="G88" s="97">
        <f t="shared" si="1"/>
        <v>0</v>
      </c>
      <c r="H88" s="97">
        <f t="shared" si="1"/>
        <v>-3.7471181713044643E-10</v>
      </c>
      <c r="I88" s="97">
        <f t="shared" si="1"/>
        <v>0</v>
      </c>
    </row>
  </sheetData>
  <mergeCells count="6">
    <mergeCell ref="B80:I80"/>
    <mergeCell ref="B81:I81"/>
    <mergeCell ref="A84:I84"/>
    <mergeCell ref="A85:I85"/>
    <mergeCell ref="A86:I86"/>
    <mergeCell ref="B82:I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Agosto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Nacional de Presupuest</dc:creator>
  <cp:lastModifiedBy>Paolo</cp:lastModifiedBy>
  <cp:lastPrinted>2023-04-13T14:56:41Z</cp:lastPrinted>
  <dcterms:created xsi:type="dcterms:W3CDTF">2000-01-11T21:12:19Z</dcterms:created>
  <dcterms:modified xsi:type="dcterms:W3CDTF">2026-09-17T18:13:15Z</dcterms:modified>
</cp:coreProperties>
</file>